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dan\GitHubs\SE423Spring26\BaudRatesForF28379D\"/>
    </mc:Choice>
  </mc:AlternateContent>
  <xr:revisionPtr revIDLastSave="0" documentId="13_ncr:1_{4A5C2C90-7743-4C85-BF28-E07A8F81A8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S17" i="1"/>
  <c r="N13" i="1"/>
  <c r="S43" i="1"/>
  <c r="S44" i="1"/>
  <c r="S46" i="1"/>
  <c r="S45" i="1"/>
  <c r="S29" i="1"/>
  <c r="S28" i="1"/>
  <c r="S55" i="1"/>
  <c r="S110" i="1"/>
  <c r="S109" i="1"/>
  <c r="S107" i="1"/>
  <c r="S10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S219" i="1" s="1"/>
  <c r="Q218" i="1"/>
  <c r="S218" i="1" s="1"/>
  <c r="Q217" i="1"/>
  <c r="S217" i="1" s="1"/>
  <c r="Q216" i="1"/>
  <c r="S216" i="1" s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L177" i="1"/>
  <c r="Q177" i="1"/>
  <c r="B176" i="1"/>
  <c r="L176" i="1"/>
  <c r="Q176" i="1"/>
  <c r="B175" i="1"/>
  <c r="L175" i="1"/>
  <c r="Q175" i="1"/>
  <c r="B174" i="1"/>
  <c r="L174" i="1"/>
  <c r="Q174" i="1"/>
  <c r="B173" i="1"/>
  <c r="L173" i="1"/>
  <c r="Q173" i="1"/>
  <c r="B172" i="1"/>
  <c r="L172" i="1"/>
  <c r="Q172" i="1"/>
  <c r="B171" i="1"/>
  <c r="L171" i="1"/>
  <c r="Q171" i="1"/>
  <c r="B170" i="1"/>
  <c r="L170" i="1"/>
  <c r="Q170" i="1"/>
  <c r="B169" i="1"/>
  <c r="L169" i="1"/>
  <c r="Q169" i="1"/>
  <c r="B168" i="1"/>
  <c r="L168" i="1"/>
  <c r="Q168" i="1"/>
  <c r="B167" i="1"/>
  <c r="L167" i="1"/>
  <c r="Q167" i="1"/>
  <c r="B166" i="1"/>
  <c r="L166" i="1"/>
  <c r="Q166" i="1"/>
  <c r="B165" i="1"/>
  <c r="L165" i="1"/>
  <c r="Q165" i="1"/>
  <c r="B164" i="1"/>
  <c r="L164" i="1"/>
  <c r="Q164" i="1"/>
  <c r="B163" i="1"/>
  <c r="L163" i="1"/>
  <c r="Q163" i="1"/>
  <c r="B162" i="1"/>
  <c r="L162" i="1"/>
  <c r="Q162" i="1"/>
  <c r="B161" i="1"/>
  <c r="L161" i="1"/>
  <c r="Q161" i="1"/>
  <c r="B160" i="1"/>
  <c r="L160" i="1"/>
  <c r="Q160" i="1"/>
  <c r="B159" i="1"/>
  <c r="L159" i="1"/>
  <c r="Q159" i="1"/>
  <c r="B158" i="1"/>
  <c r="L158" i="1"/>
  <c r="Q158" i="1"/>
  <c r="B157" i="1"/>
  <c r="L157" i="1"/>
  <c r="Q157" i="1"/>
  <c r="B156" i="1"/>
  <c r="L156" i="1"/>
  <c r="Q156" i="1"/>
  <c r="B155" i="1"/>
  <c r="L155" i="1"/>
  <c r="Q155" i="1"/>
  <c r="B154" i="1"/>
  <c r="L154" i="1"/>
  <c r="Q154" i="1"/>
  <c r="B153" i="1"/>
  <c r="L153" i="1"/>
  <c r="Q153" i="1"/>
  <c r="B152" i="1"/>
  <c r="L152" i="1"/>
  <c r="Q152" i="1"/>
  <c r="B151" i="1"/>
  <c r="L151" i="1"/>
  <c r="Q151" i="1"/>
  <c r="B150" i="1"/>
  <c r="L150" i="1"/>
  <c r="Q150" i="1"/>
  <c r="B149" i="1"/>
  <c r="L149" i="1"/>
  <c r="Q149" i="1"/>
  <c r="B148" i="1"/>
  <c r="L148" i="1"/>
  <c r="Q148" i="1"/>
  <c r="B147" i="1"/>
  <c r="L147" i="1"/>
  <c r="Q147" i="1"/>
  <c r="B146" i="1"/>
  <c r="L146" i="1"/>
  <c r="Q146" i="1"/>
  <c r="B145" i="1"/>
  <c r="L145" i="1"/>
  <c r="Q145" i="1"/>
  <c r="B144" i="1"/>
  <c r="L144" i="1"/>
  <c r="Q144" i="1"/>
  <c r="B143" i="1"/>
  <c r="L143" i="1"/>
  <c r="Q143" i="1"/>
  <c r="B142" i="1"/>
  <c r="L142" i="1"/>
  <c r="Q142" i="1"/>
  <c r="B141" i="1"/>
  <c r="L141" i="1"/>
  <c r="Q141" i="1"/>
  <c r="B140" i="1"/>
  <c r="L140" i="1"/>
  <c r="Q140" i="1"/>
  <c r="B139" i="1"/>
  <c r="L139" i="1"/>
  <c r="Q139" i="1"/>
  <c r="B138" i="1"/>
  <c r="L138" i="1"/>
  <c r="Q138" i="1"/>
  <c r="B137" i="1"/>
  <c r="L137" i="1"/>
  <c r="Q137" i="1"/>
  <c r="B136" i="1"/>
  <c r="L136" i="1"/>
  <c r="Q136" i="1"/>
  <c r="B135" i="1"/>
  <c r="L135" i="1"/>
  <c r="Q135" i="1"/>
  <c r="B134" i="1"/>
  <c r="L134" i="1"/>
  <c r="Q134" i="1"/>
  <c r="B133" i="1"/>
  <c r="L133" i="1"/>
  <c r="Q133" i="1"/>
  <c r="B132" i="1"/>
  <c r="L132" i="1"/>
  <c r="Q132" i="1"/>
  <c r="B131" i="1"/>
  <c r="L131" i="1"/>
  <c r="Q131" i="1"/>
  <c r="B130" i="1"/>
  <c r="L130" i="1"/>
  <c r="Q130" i="1"/>
  <c r="B129" i="1"/>
  <c r="L129" i="1"/>
  <c r="Q129" i="1"/>
  <c r="B128" i="1"/>
  <c r="L128" i="1"/>
  <c r="Q128" i="1"/>
  <c r="B127" i="1"/>
  <c r="L127" i="1"/>
  <c r="Q127" i="1"/>
  <c r="B126" i="1"/>
  <c r="L126" i="1"/>
  <c r="Q126" i="1"/>
  <c r="B125" i="1"/>
  <c r="L125" i="1"/>
  <c r="Q125" i="1"/>
  <c r="B124" i="1"/>
  <c r="L124" i="1"/>
  <c r="Q124" i="1"/>
  <c r="B123" i="1"/>
  <c r="L123" i="1"/>
  <c r="Q123" i="1"/>
  <c r="B122" i="1"/>
  <c r="L122" i="1"/>
  <c r="Q122" i="1"/>
  <c r="B121" i="1"/>
  <c r="L121" i="1"/>
  <c r="Q121" i="1"/>
  <c r="B120" i="1"/>
  <c r="L120" i="1"/>
  <c r="Q120" i="1"/>
  <c r="B119" i="1"/>
  <c r="L119" i="1"/>
  <c r="Q119" i="1"/>
  <c r="B118" i="1"/>
  <c r="L118" i="1"/>
  <c r="Q118" i="1"/>
  <c r="B117" i="1"/>
  <c r="L117" i="1"/>
  <c r="Q117" i="1"/>
  <c r="B116" i="1"/>
  <c r="L116" i="1"/>
  <c r="Q116" i="1"/>
  <c r="B115" i="1"/>
  <c r="L115" i="1"/>
  <c r="Q115" i="1"/>
  <c r="B114" i="1"/>
  <c r="L114" i="1"/>
  <c r="Q114" i="1"/>
  <c r="B113" i="1"/>
  <c r="L113" i="1"/>
  <c r="Q113" i="1"/>
  <c r="B112" i="1"/>
  <c r="L112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S56" i="1" s="1"/>
  <c r="Q55" i="1"/>
  <c r="Q54" i="1"/>
  <c r="S54" i="1" s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S27" i="1" s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L2" i="1"/>
  <c r="B2" i="1"/>
  <c r="B111" i="1"/>
  <c r="L111" i="1"/>
  <c r="N111" i="1" s="1"/>
  <c r="B110" i="1"/>
  <c r="L110" i="1"/>
  <c r="N110" i="1" s="1"/>
  <c r="B109" i="1"/>
  <c r="L109" i="1"/>
  <c r="N109" i="1" s="1"/>
  <c r="B108" i="1"/>
  <c r="L108" i="1"/>
  <c r="B107" i="1"/>
  <c r="L107" i="1"/>
  <c r="B106" i="1"/>
  <c r="L106" i="1"/>
  <c r="B105" i="1"/>
  <c r="L105" i="1"/>
  <c r="B104" i="1"/>
  <c r="L104" i="1"/>
  <c r="B103" i="1"/>
  <c r="L103" i="1"/>
  <c r="B102" i="1"/>
  <c r="L102" i="1"/>
  <c r="B101" i="1"/>
  <c r="L101" i="1"/>
  <c r="B100" i="1"/>
  <c r="L100" i="1"/>
  <c r="B99" i="1"/>
  <c r="L99" i="1"/>
  <c r="B98" i="1"/>
  <c r="L98" i="1"/>
  <c r="B97" i="1"/>
  <c r="L97" i="1"/>
  <c r="B96" i="1"/>
  <c r="L96" i="1"/>
  <c r="B95" i="1"/>
  <c r="L95" i="1"/>
  <c r="B94" i="1"/>
  <c r="L94" i="1"/>
  <c r="B93" i="1"/>
  <c r="L93" i="1"/>
  <c r="B92" i="1"/>
  <c r="L92" i="1"/>
  <c r="B91" i="1"/>
  <c r="L91" i="1"/>
  <c r="B90" i="1"/>
  <c r="L90" i="1"/>
  <c r="B89" i="1"/>
  <c r="L89" i="1"/>
  <c r="B88" i="1"/>
  <c r="L88" i="1"/>
  <c r="B87" i="1"/>
  <c r="L87" i="1"/>
  <c r="B86" i="1"/>
  <c r="L86" i="1"/>
  <c r="B85" i="1"/>
  <c r="L85" i="1"/>
  <c r="B84" i="1"/>
  <c r="L84" i="1"/>
  <c r="B83" i="1"/>
  <c r="L83" i="1"/>
  <c r="B82" i="1"/>
  <c r="L82" i="1"/>
  <c r="B81" i="1"/>
  <c r="L81" i="1"/>
  <c r="B80" i="1"/>
  <c r="L80" i="1"/>
  <c r="B79" i="1"/>
  <c r="L79" i="1"/>
  <c r="B78" i="1"/>
  <c r="L78" i="1"/>
  <c r="B77" i="1"/>
  <c r="L77" i="1"/>
  <c r="B76" i="1"/>
  <c r="L76" i="1"/>
  <c r="B75" i="1"/>
  <c r="L75" i="1"/>
  <c r="B74" i="1"/>
  <c r="L74" i="1"/>
  <c r="B73" i="1"/>
  <c r="L73" i="1"/>
  <c r="B72" i="1"/>
  <c r="L72" i="1"/>
  <c r="B71" i="1"/>
  <c r="L71" i="1"/>
  <c r="B70" i="1"/>
  <c r="L70" i="1"/>
  <c r="B69" i="1"/>
  <c r="L69" i="1"/>
  <c r="B68" i="1"/>
  <c r="L68" i="1"/>
  <c r="B67" i="1"/>
  <c r="L67" i="1"/>
  <c r="B66" i="1"/>
  <c r="L66" i="1"/>
  <c r="B65" i="1"/>
  <c r="L65" i="1"/>
  <c r="B64" i="1"/>
  <c r="L64" i="1"/>
  <c r="B63" i="1"/>
  <c r="L63" i="1"/>
  <c r="B62" i="1"/>
  <c r="L62" i="1"/>
  <c r="B61" i="1"/>
  <c r="L61" i="1"/>
  <c r="B60" i="1"/>
  <c r="L60" i="1"/>
  <c r="B59" i="1"/>
  <c r="L59" i="1"/>
  <c r="B58" i="1"/>
  <c r="L58" i="1"/>
  <c r="B57" i="1"/>
  <c r="L57" i="1"/>
  <c r="L56" i="1"/>
  <c r="N56" i="1" s="1"/>
  <c r="L55" i="1"/>
  <c r="N55" i="1" s="1"/>
  <c r="L54" i="1"/>
  <c r="N54" i="1" s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N28" i="1" s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N15" i="1" s="1"/>
  <c r="O15" i="1" s="1"/>
  <c r="L14" i="1"/>
  <c r="N14" i="1" s="1"/>
  <c r="O14" i="1" s="1"/>
  <c r="L13" i="1"/>
  <c r="L12" i="1"/>
  <c r="N12" i="1" s="1"/>
  <c r="O12" i="1" s="1"/>
  <c r="L11" i="1"/>
  <c r="L10" i="1"/>
  <c r="L9" i="1"/>
  <c r="N9" i="1" s="1"/>
  <c r="O9" i="1" s="1"/>
  <c r="L8" i="1"/>
  <c r="L7" i="1"/>
  <c r="L6" i="1"/>
  <c r="L5" i="1"/>
  <c r="L4" i="1"/>
  <c r="L3" i="1"/>
  <c r="D7" i="1" l="1"/>
  <c r="D5" i="1"/>
  <c r="B56" i="1"/>
  <c r="D56" i="1" s="1"/>
  <c r="B55" i="1"/>
  <c r="D55" i="1" s="1"/>
  <c r="B54" i="1"/>
  <c r="D54" i="1" s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D29" i="1" s="1"/>
  <c r="B28" i="1"/>
  <c r="D28" i="1" s="1"/>
  <c r="B27" i="1"/>
  <c r="D27" i="1" s="1"/>
  <c r="B26" i="1"/>
  <c r="B25" i="1"/>
  <c r="B24" i="1"/>
  <c r="B23" i="1"/>
  <c r="B22" i="1"/>
  <c r="B21" i="1"/>
  <c r="B20" i="1"/>
  <c r="B19" i="1"/>
  <c r="B18" i="1"/>
  <c r="B17" i="1"/>
  <c r="B16" i="1"/>
  <c r="D16" i="1" s="1"/>
  <c r="B15" i="1"/>
  <c r="D15" i="1" s="1"/>
  <c r="B14" i="1"/>
  <c r="D14" i="1" s="1"/>
  <c r="B13" i="1"/>
  <c r="D13" i="1" s="1"/>
  <c r="B12" i="1"/>
  <c r="D12" i="1" s="1"/>
  <c r="E12" i="1" s="1"/>
  <c r="B11" i="1"/>
  <c r="B10" i="1"/>
  <c r="B9" i="1"/>
  <c r="B8" i="1"/>
  <c r="D8" i="1" s="1"/>
  <c r="B7" i="1"/>
  <c r="B6" i="1"/>
  <c r="D6" i="1" s="1"/>
  <c r="B5" i="1"/>
  <c r="B4" i="1"/>
  <c r="D4" i="1" s="1"/>
  <c r="B3" i="1"/>
  <c r="D3" i="1" s="1"/>
</calcChain>
</file>

<file path=xl/sharedStrings.xml><?xml version="1.0" encoding="utf-8"?>
<sst xmlns="http://schemas.openxmlformats.org/spreadsheetml/2006/main" count="29" uniqueCount="19">
  <si>
    <t>clk</t>
  </si>
  <si>
    <t>baud</t>
  </si>
  <si>
    <t>B2500000</t>
  </si>
  <si>
    <t>B2000000</t>
  </si>
  <si>
    <t>B576000</t>
  </si>
  <si>
    <t>B230400</t>
  </si>
  <si>
    <t>B115200</t>
  </si>
  <si>
    <t>put in 566000 on f28379D for 576000</t>
  </si>
  <si>
    <t>baud using 100Mhz low speed clk</t>
  </si>
  <si>
    <t>B500000</t>
  </si>
  <si>
    <t>clk divide = 0 is always /16 so same as 1 (as per datasheet)</t>
  </si>
  <si>
    <t>baud using 200Mhz low speed clk</t>
  </si>
  <si>
    <t>B460800</t>
  </si>
  <si>
    <t>B921600</t>
  </si>
  <si>
    <t>B1000000</t>
  </si>
  <si>
    <t>B5000000</t>
  </si>
  <si>
    <t xml:space="preserve"> </t>
  </si>
  <si>
    <t>B3500000</t>
  </si>
  <si>
    <t>But if we change LSPCLK to 200Mhz the slowest bit rate for SPI is 200000000/128 = 1562500 IMU right now is at 1000000 rate, would have to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</si>
</sst>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7"/>
  <sheetViews>
    <sheetView tabSelected="1" workbookViewId="0">
      <selection activeCell="A3" sqref="A3"/>
    </sheetView>
  </sheetViews>
  <sheetFormatPr defaultRowHeight="14.5" x14ac:dyDescent="0.35"/>
  <cols>
    <col min="1" max="1" width="8.1796875" customWidth="1"/>
    <col min="2" max="2" width="12.1796875" customWidth="1"/>
    <col min="10" max="10" width="3.453125" customWidth="1"/>
    <col min="11" max="11" width="2.81640625" customWidth="1"/>
    <col min="12" max="12" width="16.6328125" customWidth="1"/>
    <col min="16" max="16" width="6.36328125" customWidth="1"/>
    <col min="17" max="17" width="14.36328125" customWidth="1"/>
  </cols>
  <sheetData>
    <row r="1" spans="1:20" x14ac:dyDescent="0.35">
      <c r="A1" t="s">
        <v>0</v>
      </c>
      <c r="B1" t="s">
        <v>1</v>
      </c>
      <c r="L1" t="s">
        <v>8</v>
      </c>
      <c r="Q1" t="s">
        <v>11</v>
      </c>
    </row>
    <row r="2" spans="1:20" x14ac:dyDescent="0.35">
      <c r="A2">
        <v>0</v>
      </c>
      <c r="B2">
        <f>(50000000/(16))</f>
        <v>3125000</v>
      </c>
      <c r="D2" t="s">
        <v>10</v>
      </c>
      <c r="L2">
        <f>(100000000/(16))</f>
        <v>6250000</v>
      </c>
      <c r="Q2">
        <f>(200000000/(16))</f>
        <v>12500000</v>
      </c>
      <c r="R2" t="s">
        <v>18</v>
      </c>
    </row>
    <row r="3" spans="1:20" x14ac:dyDescent="0.35">
      <c r="A3">
        <v>1</v>
      </c>
      <c r="B3">
        <f t="shared" ref="B3:B33" si="0">(50000000/(8*(A3+1)))</f>
        <v>3125000</v>
      </c>
      <c r="C3">
        <v>3000000</v>
      </c>
      <c r="D3">
        <f t="shared" ref="D3:D8" si="1">B3/C3</f>
        <v>1.0416666666666667</v>
      </c>
      <c r="L3">
        <f t="shared" ref="L3:L33" si="2">(100000000/(8*(A3+1)))</f>
        <v>6250000</v>
      </c>
      <c r="Q3">
        <f>(200000000/(8*(A3+1)))</f>
        <v>12500000</v>
      </c>
    </row>
    <row r="4" spans="1:20" x14ac:dyDescent="0.35">
      <c r="A4">
        <v>2</v>
      </c>
      <c r="B4">
        <f t="shared" si="0"/>
        <v>2083333.3333333333</v>
      </c>
      <c r="C4">
        <v>2000000</v>
      </c>
      <c r="D4">
        <f t="shared" si="1"/>
        <v>1.0416666666666665</v>
      </c>
      <c r="E4" t="s">
        <v>3</v>
      </c>
      <c r="L4">
        <f t="shared" si="2"/>
        <v>4166666.6666666665</v>
      </c>
      <c r="Q4">
        <f>(200000000/(8*(A4+1)))</f>
        <v>8333333.333333333</v>
      </c>
    </row>
    <row r="5" spans="1:20" x14ac:dyDescent="0.35">
      <c r="A5">
        <v>3</v>
      </c>
      <c r="B5">
        <f t="shared" si="0"/>
        <v>1562500</v>
      </c>
      <c r="C5">
        <v>1500000</v>
      </c>
      <c r="D5">
        <f t="shared" si="1"/>
        <v>1.0416666666666667</v>
      </c>
      <c r="L5">
        <f t="shared" si="2"/>
        <v>3125000</v>
      </c>
      <c r="Q5">
        <f t="shared" ref="Q5:Q68" si="3">(200000000/(8*(A5+1)))</f>
        <v>6250000</v>
      </c>
    </row>
    <row r="6" spans="1:20" x14ac:dyDescent="0.35">
      <c r="A6">
        <v>4</v>
      </c>
      <c r="B6">
        <f t="shared" si="0"/>
        <v>1250000</v>
      </c>
      <c r="C6">
        <v>1152000</v>
      </c>
      <c r="D6">
        <f t="shared" si="1"/>
        <v>1.0850694444444444</v>
      </c>
      <c r="L6" s="1">
        <f t="shared" si="2"/>
        <v>2500000</v>
      </c>
      <c r="M6" s="1"/>
      <c r="N6" s="1"/>
      <c r="O6" s="1" t="s">
        <v>2</v>
      </c>
      <c r="Q6" s="1">
        <f t="shared" si="3"/>
        <v>5000000</v>
      </c>
      <c r="R6" s="1"/>
      <c r="S6" s="1"/>
      <c r="T6" s="1" t="s">
        <v>15</v>
      </c>
    </row>
    <row r="7" spans="1:20" x14ac:dyDescent="0.35">
      <c r="A7">
        <v>5</v>
      </c>
      <c r="B7">
        <f t="shared" si="0"/>
        <v>1041666.6666666666</v>
      </c>
      <c r="C7">
        <v>1000000</v>
      </c>
      <c r="D7">
        <f t="shared" si="1"/>
        <v>1.0416666666666665</v>
      </c>
      <c r="L7">
        <f t="shared" si="2"/>
        <v>2083333.3333333333</v>
      </c>
      <c r="Q7">
        <f t="shared" si="3"/>
        <v>4166666.6666666665</v>
      </c>
    </row>
    <row r="8" spans="1:20" x14ac:dyDescent="0.35">
      <c r="A8">
        <v>6</v>
      </c>
      <c r="B8">
        <f t="shared" si="0"/>
        <v>892857.14285714284</v>
      </c>
      <c r="C8">
        <v>921600</v>
      </c>
      <c r="D8">
        <f t="shared" si="1"/>
        <v>0.96881200396825395</v>
      </c>
      <c r="L8">
        <f t="shared" si="2"/>
        <v>1785714.2857142857</v>
      </c>
      <c r="Q8" s="1">
        <f t="shared" si="3"/>
        <v>3571428.5714285714</v>
      </c>
      <c r="R8" s="1">
        <v>3500000</v>
      </c>
      <c r="S8" s="1">
        <f>Q8/R8</f>
        <v>1.0204081632653061</v>
      </c>
      <c r="T8" s="1" t="s">
        <v>17</v>
      </c>
    </row>
    <row r="9" spans="1:20" x14ac:dyDescent="0.35">
      <c r="A9">
        <v>7</v>
      </c>
      <c r="B9">
        <f t="shared" si="0"/>
        <v>781250</v>
      </c>
      <c r="L9">
        <f t="shared" si="2"/>
        <v>1562500</v>
      </c>
      <c r="M9">
        <v>1500000</v>
      </c>
      <c r="N9">
        <f>L9/M9</f>
        <v>1.0416666666666667</v>
      </c>
      <c r="O9">
        <f>1-N9</f>
        <v>-4.1666666666666741E-2</v>
      </c>
      <c r="Q9">
        <f t="shared" si="3"/>
        <v>3125000</v>
      </c>
    </row>
    <row r="10" spans="1:20" x14ac:dyDescent="0.35">
      <c r="A10">
        <v>8</v>
      </c>
      <c r="B10">
        <f t="shared" si="0"/>
        <v>694444.4444444445</v>
      </c>
      <c r="L10">
        <f t="shared" si="2"/>
        <v>1388888.888888889</v>
      </c>
      <c r="Q10">
        <f t="shared" si="3"/>
        <v>2777777.777777778</v>
      </c>
    </row>
    <row r="11" spans="1:20" x14ac:dyDescent="0.35">
      <c r="A11">
        <v>9</v>
      </c>
      <c r="B11">
        <f t="shared" si="0"/>
        <v>625000</v>
      </c>
      <c r="L11">
        <f t="shared" si="2"/>
        <v>1250000</v>
      </c>
      <c r="Q11">
        <f t="shared" si="3"/>
        <v>2500000</v>
      </c>
    </row>
    <row r="12" spans="1:20" x14ac:dyDescent="0.35">
      <c r="A12">
        <v>10</v>
      </c>
      <c r="B12">
        <f t="shared" si="0"/>
        <v>568181.81818181823</v>
      </c>
      <c r="C12">
        <v>576000</v>
      </c>
      <c r="D12">
        <f>B12/C12</f>
        <v>0.98642676767676774</v>
      </c>
      <c r="E12">
        <f>1-D12</f>
        <v>1.3573232323232265E-2</v>
      </c>
      <c r="F12" t="s">
        <v>4</v>
      </c>
      <c r="G12" t="s">
        <v>7</v>
      </c>
      <c r="L12">
        <f t="shared" si="2"/>
        <v>1136363.6363636365</v>
      </c>
      <c r="M12">
        <v>1152000</v>
      </c>
      <c r="N12">
        <f>L12/M12</f>
        <v>0.98642676767676774</v>
      </c>
      <c r="O12">
        <f>1-N12</f>
        <v>1.3573232323232265E-2</v>
      </c>
      <c r="Q12">
        <f t="shared" si="3"/>
        <v>2272727.2727272729</v>
      </c>
    </row>
    <row r="13" spans="1:20" x14ac:dyDescent="0.35">
      <c r="A13">
        <v>11</v>
      </c>
      <c r="B13">
        <f t="shared" si="0"/>
        <v>520833.33333333331</v>
      </c>
      <c r="C13">
        <v>500000</v>
      </c>
      <c r="D13">
        <f>B13/C13</f>
        <v>1.0416666666666665</v>
      </c>
      <c r="L13">
        <f t="shared" si="2"/>
        <v>1041666.6666666666</v>
      </c>
      <c r="M13">
        <v>1000000</v>
      </c>
      <c r="N13">
        <f>L13/M13</f>
        <v>1.0416666666666665</v>
      </c>
      <c r="Q13">
        <f t="shared" si="3"/>
        <v>2083333.3333333333</v>
      </c>
    </row>
    <row r="14" spans="1:20" x14ac:dyDescent="0.35">
      <c r="A14">
        <v>12</v>
      </c>
      <c r="B14">
        <f t="shared" si="0"/>
        <v>480769.23076923075</v>
      </c>
      <c r="C14">
        <v>500000</v>
      </c>
      <c r="D14">
        <f>B14/C14</f>
        <v>0.96153846153846145</v>
      </c>
      <c r="L14">
        <f t="shared" si="2"/>
        <v>961538.4615384615</v>
      </c>
      <c r="M14">
        <v>921600</v>
      </c>
      <c r="N14">
        <f>L14/M14</f>
        <v>1.0433360042735043</v>
      </c>
      <c r="O14">
        <f>1-N14</f>
        <v>-4.3336004273504258E-2</v>
      </c>
      <c r="Q14">
        <f t="shared" si="3"/>
        <v>1923076.923076923</v>
      </c>
    </row>
    <row r="15" spans="1:20" x14ac:dyDescent="0.35">
      <c r="A15">
        <v>13</v>
      </c>
      <c r="B15">
        <f t="shared" si="0"/>
        <v>446428.57142857142</v>
      </c>
      <c r="C15">
        <v>460800</v>
      </c>
      <c r="D15">
        <f>B15/C15</f>
        <v>0.96881200396825395</v>
      </c>
      <c r="L15">
        <f t="shared" si="2"/>
        <v>892857.14285714284</v>
      </c>
      <c r="M15">
        <v>921600</v>
      </c>
      <c r="N15">
        <f>L15/M15</f>
        <v>0.96881200396825395</v>
      </c>
      <c r="O15">
        <f>1-N15</f>
        <v>3.1187996031746046E-2</v>
      </c>
      <c r="Q15">
        <f t="shared" si="3"/>
        <v>1785714.2857142857</v>
      </c>
    </row>
    <row r="16" spans="1:20" x14ac:dyDescent="0.35">
      <c r="A16">
        <v>14</v>
      </c>
      <c r="B16">
        <f t="shared" si="0"/>
        <v>416666.66666666669</v>
      </c>
      <c r="C16">
        <v>460800</v>
      </c>
      <c r="D16">
        <f>B16/C16</f>
        <v>0.90422453703703709</v>
      </c>
      <c r="L16">
        <f t="shared" si="2"/>
        <v>833333.33333333337</v>
      </c>
      <c r="Q16">
        <f t="shared" si="3"/>
        <v>1666666.6666666667</v>
      </c>
    </row>
    <row r="17" spans="1:20" x14ac:dyDescent="0.35">
      <c r="A17">
        <v>15</v>
      </c>
      <c r="B17">
        <f t="shared" si="0"/>
        <v>390625</v>
      </c>
      <c r="L17">
        <f t="shared" si="2"/>
        <v>781250</v>
      </c>
      <c r="Q17">
        <f t="shared" si="3"/>
        <v>1562500</v>
      </c>
      <c r="R17">
        <v>1500000</v>
      </c>
      <c r="S17">
        <f>Q17/R17</f>
        <v>1.0416666666666667</v>
      </c>
    </row>
    <row r="18" spans="1:20" x14ac:dyDescent="0.35">
      <c r="A18">
        <v>16</v>
      </c>
      <c r="B18">
        <f t="shared" si="0"/>
        <v>367647.0588235294</v>
      </c>
      <c r="L18">
        <f t="shared" si="2"/>
        <v>735294.1176470588</v>
      </c>
      <c r="Q18">
        <f t="shared" si="3"/>
        <v>1470588.2352941176</v>
      </c>
    </row>
    <row r="19" spans="1:20" x14ac:dyDescent="0.35">
      <c r="A19">
        <v>17</v>
      </c>
      <c r="B19">
        <f t="shared" si="0"/>
        <v>347222.22222222225</v>
      </c>
      <c r="L19">
        <f t="shared" si="2"/>
        <v>694444.4444444445</v>
      </c>
      <c r="Q19">
        <f t="shared" si="3"/>
        <v>1388888.888888889</v>
      </c>
    </row>
    <row r="20" spans="1:20" x14ac:dyDescent="0.35">
      <c r="A20">
        <v>18</v>
      </c>
      <c r="B20">
        <f t="shared" si="0"/>
        <v>328947.36842105264</v>
      </c>
      <c r="L20">
        <f t="shared" si="2"/>
        <v>657894.73684210528</v>
      </c>
      <c r="Q20">
        <f t="shared" si="3"/>
        <v>1315789.4736842106</v>
      </c>
    </row>
    <row r="21" spans="1:20" x14ac:dyDescent="0.35">
      <c r="A21">
        <v>19</v>
      </c>
      <c r="B21">
        <f t="shared" si="0"/>
        <v>312500</v>
      </c>
      <c r="L21">
        <f t="shared" si="2"/>
        <v>625000</v>
      </c>
      <c r="Q21">
        <f t="shared" si="3"/>
        <v>1250000</v>
      </c>
    </row>
    <row r="22" spans="1:20" x14ac:dyDescent="0.35">
      <c r="A22">
        <v>20</v>
      </c>
      <c r="B22">
        <f t="shared" si="0"/>
        <v>297619.04761904763</v>
      </c>
      <c r="L22">
        <f t="shared" si="2"/>
        <v>595238.09523809527</v>
      </c>
      <c r="Q22">
        <f t="shared" si="3"/>
        <v>1190476.1904761905</v>
      </c>
    </row>
    <row r="23" spans="1:20" x14ac:dyDescent="0.35">
      <c r="A23">
        <v>21</v>
      </c>
      <c r="B23">
        <f t="shared" si="0"/>
        <v>284090.90909090912</v>
      </c>
      <c r="L23">
        <f t="shared" si="2"/>
        <v>568181.81818181823</v>
      </c>
      <c r="Q23">
        <f t="shared" si="3"/>
        <v>1136363.6363636365</v>
      </c>
    </row>
    <row r="24" spans="1:20" x14ac:dyDescent="0.35">
      <c r="A24">
        <v>22</v>
      </c>
      <c r="B24">
        <f t="shared" si="0"/>
        <v>271739.13043478259</v>
      </c>
      <c r="L24">
        <f t="shared" si="2"/>
        <v>543478.26086956519</v>
      </c>
      <c r="Q24">
        <f t="shared" si="3"/>
        <v>1086956.5217391304</v>
      </c>
    </row>
    <row r="25" spans="1:20" x14ac:dyDescent="0.35">
      <c r="A25">
        <v>23</v>
      </c>
      <c r="B25">
        <f t="shared" si="0"/>
        <v>260416.66666666666</v>
      </c>
      <c r="L25">
        <f t="shared" si="2"/>
        <v>520833.33333333331</v>
      </c>
      <c r="Q25">
        <f t="shared" si="3"/>
        <v>1041666.6666666666</v>
      </c>
    </row>
    <row r="26" spans="1:20" x14ac:dyDescent="0.35">
      <c r="A26">
        <v>24</v>
      </c>
      <c r="B26">
        <f t="shared" si="0"/>
        <v>250000</v>
      </c>
      <c r="L26">
        <f t="shared" si="2"/>
        <v>500000</v>
      </c>
      <c r="M26" s="1"/>
      <c r="N26" s="1"/>
      <c r="O26" s="2" t="s">
        <v>9</v>
      </c>
      <c r="Q26" s="1">
        <f t="shared" si="3"/>
        <v>1000000</v>
      </c>
      <c r="R26" s="1"/>
      <c r="S26" s="1"/>
      <c r="T26" s="1" t="s">
        <v>14</v>
      </c>
    </row>
    <row r="27" spans="1:20" x14ac:dyDescent="0.35">
      <c r="A27">
        <v>25</v>
      </c>
      <c r="B27">
        <f t="shared" si="0"/>
        <v>240384.61538461538</v>
      </c>
      <c r="C27">
        <v>230400</v>
      </c>
      <c r="D27">
        <f>B27/C27</f>
        <v>1.0433360042735043</v>
      </c>
      <c r="L27">
        <f t="shared" si="2"/>
        <v>480769.23076923075</v>
      </c>
      <c r="Q27">
        <f t="shared" si="3"/>
        <v>961538.4615384615</v>
      </c>
      <c r="R27">
        <v>921600</v>
      </c>
      <c r="S27">
        <f>Q27/R27</f>
        <v>1.0433360042735043</v>
      </c>
    </row>
    <row r="28" spans="1:20" x14ac:dyDescent="0.35">
      <c r="A28">
        <v>26</v>
      </c>
      <c r="B28">
        <f t="shared" si="0"/>
        <v>231481.48148148149</v>
      </c>
      <c r="C28" s="1">
        <v>230400</v>
      </c>
      <c r="D28" s="1">
        <f>B28/C28</f>
        <v>1.0046939300411524</v>
      </c>
      <c r="E28" s="1"/>
      <c r="F28" s="1" t="s">
        <v>5</v>
      </c>
      <c r="L28">
        <f t="shared" si="2"/>
        <v>462962.96296296298</v>
      </c>
      <c r="M28" s="1">
        <v>460800</v>
      </c>
      <c r="N28" s="1">
        <f>L28/M28</f>
        <v>1.0046939300411524</v>
      </c>
      <c r="O28" s="1" t="s">
        <v>12</v>
      </c>
      <c r="Q28" s="1">
        <f t="shared" si="3"/>
        <v>925925.92592592596</v>
      </c>
      <c r="R28" s="1">
        <v>921600</v>
      </c>
      <c r="S28" s="1">
        <f>Q28/R28</f>
        <v>1.0046939300411524</v>
      </c>
      <c r="T28" s="1" t="s">
        <v>13</v>
      </c>
    </row>
    <row r="29" spans="1:20" x14ac:dyDescent="0.35">
      <c r="A29">
        <v>27</v>
      </c>
      <c r="B29">
        <f t="shared" si="0"/>
        <v>223214.28571428571</v>
      </c>
      <c r="C29">
        <v>230400</v>
      </c>
      <c r="D29">
        <f>B29/C29</f>
        <v>0.96881200396825395</v>
      </c>
      <c r="L29">
        <f t="shared" si="2"/>
        <v>446428.57142857142</v>
      </c>
      <c r="Q29">
        <f t="shared" si="3"/>
        <v>892857.14285714284</v>
      </c>
      <c r="R29">
        <v>921600</v>
      </c>
      <c r="S29">
        <f>Q29/R29</f>
        <v>0.96881200396825395</v>
      </c>
    </row>
    <row r="30" spans="1:20" x14ac:dyDescent="0.35">
      <c r="A30">
        <v>28</v>
      </c>
      <c r="B30">
        <f t="shared" si="0"/>
        <v>215517.24137931035</v>
      </c>
      <c r="L30">
        <f t="shared" si="2"/>
        <v>431034.4827586207</v>
      </c>
      <c r="Q30">
        <f t="shared" si="3"/>
        <v>862068.96551724139</v>
      </c>
    </row>
    <row r="31" spans="1:20" x14ac:dyDescent="0.35">
      <c r="A31">
        <v>29</v>
      </c>
      <c r="B31">
        <f t="shared" si="0"/>
        <v>208333.33333333334</v>
      </c>
      <c r="L31">
        <f t="shared" si="2"/>
        <v>416666.66666666669</v>
      </c>
      <c r="Q31">
        <f t="shared" si="3"/>
        <v>833333.33333333337</v>
      </c>
    </row>
    <row r="32" spans="1:20" x14ac:dyDescent="0.35">
      <c r="A32">
        <v>30</v>
      </c>
      <c r="B32">
        <f t="shared" si="0"/>
        <v>201612.90322580645</v>
      </c>
      <c r="L32">
        <f t="shared" si="2"/>
        <v>403225.80645161291</v>
      </c>
      <c r="Q32">
        <f t="shared" si="3"/>
        <v>806451.61290322582</v>
      </c>
    </row>
    <row r="33" spans="1:20" x14ac:dyDescent="0.35">
      <c r="A33">
        <v>31</v>
      </c>
      <c r="B33">
        <f t="shared" si="0"/>
        <v>195312.5</v>
      </c>
      <c r="L33">
        <f t="shared" si="2"/>
        <v>390625</v>
      </c>
      <c r="Q33">
        <f t="shared" si="3"/>
        <v>781250</v>
      </c>
    </row>
    <row r="34" spans="1:20" x14ac:dyDescent="0.35">
      <c r="A34">
        <v>32</v>
      </c>
      <c r="B34">
        <f t="shared" ref="B34:B178" si="4">(50000000/(8*(A34+1)))</f>
        <v>189393.93939393939</v>
      </c>
      <c r="L34">
        <f t="shared" ref="L34:L65" si="5">(100000000/(8*(A34+1)))</f>
        <v>378787.87878787878</v>
      </c>
      <c r="Q34">
        <f t="shared" si="3"/>
        <v>757575.75757575757</v>
      </c>
    </row>
    <row r="35" spans="1:20" x14ac:dyDescent="0.35">
      <c r="A35">
        <v>33</v>
      </c>
      <c r="B35">
        <f t="shared" si="4"/>
        <v>183823.5294117647</v>
      </c>
      <c r="L35">
        <f t="shared" si="5"/>
        <v>367647.0588235294</v>
      </c>
      <c r="Q35">
        <f t="shared" si="3"/>
        <v>735294.1176470588</v>
      </c>
    </row>
    <row r="36" spans="1:20" x14ac:dyDescent="0.35">
      <c r="A36">
        <v>34</v>
      </c>
      <c r="B36">
        <f t="shared" si="4"/>
        <v>178571.42857142858</v>
      </c>
      <c r="L36">
        <f t="shared" si="5"/>
        <v>357142.85714285716</v>
      </c>
      <c r="Q36">
        <f t="shared" si="3"/>
        <v>714285.71428571432</v>
      </c>
    </row>
    <row r="37" spans="1:20" x14ac:dyDescent="0.35">
      <c r="A37">
        <v>35</v>
      </c>
      <c r="B37">
        <f t="shared" si="4"/>
        <v>173611.11111111112</v>
      </c>
      <c r="L37">
        <f t="shared" si="5"/>
        <v>347222.22222222225</v>
      </c>
      <c r="Q37">
        <f t="shared" si="3"/>
        <v>694444.4444444445</v>
      </c>
    </row>
    <row r="38" spans="1:20" x14ac:dyDescent="0.35">
      <c r="A38">
        <v>36</v>
      </c>
      <c r="B38">
        <f t="shared" si="4"/>
        <v>168918.91891891891</v>
      </c>
      <c r="L38">
        <f t="shared" si="5"/>
        <v>337837.83783783781</v>
      </c>
      <c r="Q38">
        <f t="shared" si="3"/>
        <v>675675.67567567562</v>
      </c>
    </row>
    <row r="39" spans="1:20" x14ac:dyDescent="0.35">
      <c r="A39">
        <v>37</v>
      </c>
      <c r="B39">
        <f t="shared" si="4"/>
        <v>164473.68421052632</v>
      </c>
      <c r="L39">
        <f t="shared" si="5"/>
        <v>328947.36842105264</v>
      </c>
      <c r="Q39">
        <f t="shared" si="3"/>
        <v>657894.73684210528</v>
      </c>
    </row>
    <row r="40" spans="1:20" x14ac:dyDescent="0.35">
      <c r="A40">
        <v>38</v>
      </c>
      <c r="B40">
        <f t="shared" si="4"/>
        <v>160256.41025641025</v>
      </c>
      <c r="L40">
        <f t="shared" si="5"/>
        <v>320512.8205128205</v>
      </c>
      <c r="Q40">
        <f t="shared" si="3"/>
        <v>641025.641025641</v>
      </c>
    </row>
    <row r="41" spans="1:20" x14ac:dyDescent="0.35">
      <c r="A41">
        <v>39</v>
      </c>
      <c r="B41">
        <f t="shared" si="4"/>
        <v>156250</v>
      </c>
      <c r="L41">
        <f t="shared" si="5"/>
        <v>312500</v>
      </c>
      <c r="Q41">
        <f t="shared" si="3"/>
        <v>625000</v>
      </c>
    </row>
    <row r="42" spans="1:20" x14ac:dyDescent="0.35">
      <c r="A42">
        <v>40</v>
      </c>
      <c r="B42">
        <f t="shared" si="4"/>
        <v>152439.0243902439</v>
      </c>
      <c r="L42">
        <f t="shared" si="5"/>
        <v>304878.04878048779</v>
      </c>
      <c r="Q42">
        <f t="shared" si="3"/>
        <v>609756.09756097558</v>
      </c>
    </row>
    <row r="43" spans="1:20" x14ac:dyDescent="0.35">
      <c r="A43">
        <v>41</v>
      </c>
      <c r="B43">
        <f t="shared" si="4"/>
        <v>148809.52380952382</v>
      </c>
      <c r="L43">
        <f t="shared" si="5"/>
        <v>297619.04761904763</v>
      </c>
      <c r="Q43">
        <f t="shared" si="3"/>
        <v>595238.09523809527</v>
      </c>
      <c r="R43">
        <v>576000</v>
      </c>
      <c r="S43">
        <f>Q43/R43</f>
        <v>1.0333994708994709</v>
      </c>
    </row>
    <row r="44" spans="1:20" x14ac:dyDescent="0.35">
      <c r="A44">
        <v>42</v>
      </c>
      <c r="B44">
        <f t="shared" si="4"/>
        <v>145348.83720930232</v>
      </c>
      <c r="L44">
        <f t="shared" si="5"/>
        <v>290697.67441860464</v>
      </c>
      <c r="Q44" s="1">
        <f t="shared" si="3"/>
        <v>581395.34883720928</v>
      </c>
      <c r="R44" s="1">
        <v>576000</v>
      </c>
      <c r="S44" s="1">
        <f>Q44/R44</f>
        <v>1.0093669250645994</v>
      </c>
      <c r="T44" s="1" t="s">
        <v>4</v>
      </c>
    </row>
    <row r="45" spans="1:20" x14ac:dyDescent="0.35">
      <c r="A45">
        <v>43</v>
      </c>
      <c r="B45">
        <f t="shared" si="4"/>
        <v>142045.45454545456</v>
      </c>
      <c r="L45">
        <f t="shared" si="5"/>
        <v>284090.90909090912</v>
      </c>
      <c r="Q45">
        <f t="shared" si="3"/>
        <v>568181.81818181823</v>
      </c>
      <c r="R45">
        <v>576000</v>
      </c>
      <c r="S45">
        <f>Q45/R45</f>
        <v>0.98642676767676774</v>
      </c>
    </row>
    <row r="46" spans="1:20" x14ac:dyDescent="0.35">
      <c r="A46">
        <v>44</v>
      </c>
      <c r="B46">
        <f t="shared" si="4"/>
        <v>138888.88888888888</v>
      </c>
      <c r="L46">
        <f t="shared" si="5"/>
        <v>277777.77777777775</v>
      </c>
      <c r="Q46">
        <f t="shared" si="3"/>
        <v>555555.5555555555</v>
      </c>
      <c r="R46">
        <v>576000</v>
      </c>
      <c r="S46">
        <f>Q46/R46</f>
        <v>0.96450617283950613</v>
      </c>
    </row>
    <row r="47" spans="1:20" x14ac:dyDescent="0.35">
      <c r="A47">
        <v>45</v>
      </c>
      <c r="B47">
        <f t="shared" si="4"/>
        <v>135869.5652173913</v>
      </c>
      <c r="L47">
        <f t="shared" si="5"/>
        <v>271739.13043478259</v>
      </c>
      <c r="Q47">
        <f t="shared" si="3"/>
        <v>543478.26086956519</v>
      </c>
    </row>
    <row r="48" spans="1:20" x14ac:dyDescent="0.35">
      <c r="A48">
        <v>46</v>
      </c>
      <c r="B48">
        <f t="shared" si="4"/>
        <v>132978.72340425532</v>
      </c>
      <c r="L48">
        <f t="shared" si="5"/>
        <v>265957.44680851063</v>
      </c>
      <c r="Q48">
        <f t="shared" si="3"/>
        <v>531914.89361702127</v>
      </c>
    </row>
    <row r="49" spans="1:20" x14ac:dyDescent="0.35">
      <c r="A49">
        <v>47</v>
      </c>
      <c r="B49">
        <f t="shared" si="4"/>
        <v>130208.33333333333</v>
      </c>
      <c r="L49">
        <f t="shared" si="5"/>
        <v>260416.66666666666</v>
      </c>
      <c r="Q49">
        <f t="shared" si="3"/>
        <v>520833.33333333331</v>
      </c>
    </row>
    <row r="50" spans="1:20" x14ac:dyDescent="0.35">
      <c r="A50">
        <v>48</v>
      </c>
      <c r="B50">
        <f t="shared" si="4"/>
        <v>127551.02040816327</v>
      </c>
      <c r="L50">
        <f t="shared" si="5"/>
        <v>255102.04081632654</v>
      </c>
      <c r="Q50">
        <f t="shared" si="3"/>
        <v>510204.08163265308</v>
      </c>
    </row>
    <row r="51" spans="1:20" x14ac:dyDescent="0.35">
      <c r="A51">
        <v>49</v>
      </c>
      <c r="B51">
        <f t="shared" si="4"/>
        <v>125000</v>
      </c>
      <c r="L51">
        <f t="shared" si="5"/>
        <v>250000</v>
      </c>
      <c r="Q51" s="1">
        <f t="shared" si="3"/>
        <v>500000</v>
      </c>
      <c r="R51" s="1"/>
      <c r="S51" s="1"/>
      <c r="T51" s="2" t="s">
        <v>9</v>
      </c>
    </row>
    <row r="52" spans="1:20" x14ac:dyDescent="0.35">
      <c r="A52">
        <v>50</v>
      </c>
      <c r="B52">
        <f t="shared" si="4"/>
        <v>122549.01960784313</v>
      </c>
      <c r="L52">
        <f t="shared" si="5"/>
        <v>245098.03921568627</v>
      </c>
      <c r="Q52">
        <f t="shared" si="3"/>
        <v>490196.07843137253</v>
      </c>
    </row>
    <row r="53" spans="1:20" x14ac:dyDescent="0.35">
      <c r="A53">
        <v>51</v>
      </c>
      <c r="B53">
        <f t="shared" si="4"/>
        <v>120192.30769230769</v>
      </c>
      <c r="L53">
        <f t="shared" si="5"/>
        <v>240384.61538461538</v>
      </c>
      <c r="M53">
        <v>230400</v>
      </c>
      <c r="Q53">
        <f t="shared" si="3"/>
        <v>480769.23076923075</v>
      </c>
    </row>
    <row r="54" spans="1:20" x14ac:dyDescent="0.35">
      <c r="A54">
        <v>52</v>
      </c>
      <c r="B54">
        <f t="shared" si="4"/>
        <v>117924.52830188679</v>
      </c>
      <c r="C54">
        <v>115200</v>
      </c>
      <c r="D54">
        <f>B54/C54</f>
        <v>1.0236504192872118</v>
      </c>
      <c r="L54">
        <f t="shared" si="5"/>
        <v>235849.05660377358</v>
      </c>
      <c r="M54">
        <v>230400</v>
      </c>
      <c r="N54">
        <f>L54/M54</f>
        <v>1.0236504192872118</v>
      </c>
      <c r="O54" t="s">
        <v>16</v>
      </c>
      <c r="Q54">
        <f t="shared" si="3"/>
        <v>471698.11320754717</v>
      </c>
      <c r="R54">
        <v>460800</v>
      </c>
      <c r="S54">
        <f>Q54/R54</f>
        <v>1.0236504192872118</v>
      </c>
    </row>
    <row r="55" spans="1:20" x14ac:dyDescent="0.35">
      <c r="A55">
        <v>53</v>
      </c>
      <c r="B55">
        <f t="shared" si="4"/>
        <v>115740.74074074074</v>
      </c>
      <c r="C55" s="1">
        <v>115200</v>
      </c>
      <c r="D55" s="1">
        <f>B55/C55</f>
        <v>1.0046939300411524</v>
      </c>
      <c r="E55" s="1"/>
      <c r="F55" s="1" t="s">
        <v>6</v>
      </c>
      <c r="L55">
        <f t="shared" si="5"/>
        <v>231481.48148148149</v>
      </c>
      <c r="M55" s="1">
        <v>230400</v>
      </c>
      <c r="N55" s="1">
        <f>L55/M55</f>
        <v>1.0046939300411524</v>
      </c>
      <c r="O55" s="1" t="s">
        <v>5</v>
      </c>
      <c r="Q55" s="1">
        <f t="shared" si="3"/>
        <v>462962.96296296298</v>
      </c>
      <c r="R55" s="1">
        <v>460800</v>
      </c>
      <c r="S55" s="1">
        <f>Q55/R55</f>
        <v>1.0046939300411524</v>
      </c>
      <c r="T55" s="1" t="s">
        <v>12</v>
      </c>
    </row>
    <row r="56" spans="1:20" x14ac:dyDescent="0.35">
      <c r="A56">
        <v>54</v>
      </c>
      <c r="B56">
        <f t="shared" si="4"/>
        <v>113636.36363636363</v>
      </c>
      <c r="C56">
        <v>115200</v>
      </c>
      <c r="D56">
        <f>B56/C56</f>
        <v>0.98642676767676762</v>
      </c>
      <c r="L56">
        <f t="shared" si="5"/>
        <v>227272.72727272726</v>
      </c>
      <c r="M56">
        <v>230400</v>
      </c>
      <c r="N56">
        <f>L56/M56</f>
        <v>0.98642676767676762</v>
      </c>
      <c r="O56" t="s">
        <v>16</v>
      </c>
      <c r="Q56">
        <f t="shared" si="3"/>
        <v>454545.45454545453</v>
      </c>
      <c r="R56">
        <v>460800</v>
      </c>
      <c r="S56">
        <f>Q56/R56</f>
        <v>0.98642676767676762</v>
      </c>
    </row>
    <row r="57" spans="1:20" x14ac:dyDescent="0.35">
      <c r="A57">
        <v>55</v>
      </c>
      <c r="B57">
        <f t="shared" si="4"/>
        <v>111607.14285714286</v>
      </c>
      <c r="L57">
        <f t="shared" si="5"/>
        <v>223214.28571428571</v>
      </c>
      <c r="Q57">
        <f t="shared" si="3"/>
        <v>446428.57142857142</v>
      </c>
    </row>
    <row r="58" spans="1:20" x14ac:dyDescent="0.35">
      <c r="A58">
        <v>56</v>
      </c>
      <c r="B58">
        <f t="shared" si="4"/>
        <v>109649.12280701754</v>
      </c>
      <c r="L58">
        <f t="shared" si="5"/>
        <v>219298.24561403508</v>
      </c>
      <c r="Q58">
        <f t="shared" si="3"/>
        <v>438596.49122807017</v>
      </c>
    </row>
    <row r="59" spans="1:20" x14ac:dyDescent="0.35">
      <c r="A59">
        <v>57</v>
      </c>
      <c r="B59">
        <f t="shared" si="4"/>
        <v>107758.62068965517</v>
      </c>
      <c r="L59">
        <f t="shared" si="5"/>
        <v>215517.24137931035</v>
      </c>
      <c r="Q59">
        <f t="shared" si="3"/>
        <v>431034.4827586207</v>
      </c>
    </row>
    <row r="60" spans="1:20" x14ac:dyDescent="0.35">
      <c r="A60">
        <v>58</v>
      </c>
      <c r="B60">
        <f t="shared" si="4"/>
        <v>105932.20338983051</v>
      </c>
      <c r="L60">
        <f t="shared" si="5"/>
        <v>211864.40677966102</v>
      </c>
      <c r="Q60">
        <f t="shared" si="3"/>
        <v>423728.81355932204</v>
      </c>
    </row>
    <row r="61" spans="1:20" x14ac:dyDescent="0.35">
      <c r="A61">
        <v>59</v>
      </c>
      <c r="B61">
        <f t="shared" si="4"/>
        <v>104166.66666666667</v>
      </c>
      <c r="L61">
        <f t="shared" si="5"/>
        <v>208333.33333333334</v>
      </c>
      <c r="Q61">
        <f t="shared" si="3"/>
        <v>416666.66666666669</v>
      </c>
    </row>
    <row r="62" spans="1:20" x14ac:dyDescent="0.35">
      <c r="A62">
        <v>60</v>
      </c>
      <c r="B62">
        <f t="shared" si="4"/>
        <v>102459.01639344262</v>
      </c>
      <c r="L62">
        <f t="shared" si="5"/>
        <v>204918.03278688525</v>
      </c>
      <c r="Q62">
        <f t="shared" si="3"/>
        <v>409836.06557377049</v>
      </c>
    </row>
    <row r="63" spans="1:20" x14ac:dyDescent="0.35">
      <c r="A63">
        <v>61</v>
      </c>
      <c r="B63">
        <f t="shared" si="4"/>
        <v>100806.45161290323</v>
      </c>
      <c r="L63">
        <f t="shared" si="5"/>
        <v>201612.90322580645</v>
      </c>
      <c r="Q63">
        <f t="shared" si="3"/>
        <v>403225.80645161291</v>
      </c>
    </row>
    <row r="64" spans="1:20" x14ac:dyDescent="0.35">
      <c r="A64">
        <v>62</v>
      </c>
      <c r="B64">
        <f t="shared" si="4"/>
        <v>99206.349206349201</v>
      </c>
      <c r="L64">
        <f t="shared" si="5"/>
        <v>198412.6984126984</v>
      </c>
      <c r="Q64">
        <f t="shared" si="3"/>
        <v>396825.39682539681</v>
      </c>
    </row>
    <row r="65" spans="1:17" x14ac:dyDescent="0.35">
      <c r="A65">
        <v>63</v>
      </c>
      <c r="B65">
        <f t="shared" si="4"/>
        <v>97656.25</v>
      </c>
      <c r="L65">
        <f t="shared" si="5"/>
        <v>195312.5</v>
      </c>
      <c r="Q65">
        <f t="shared" si="3"/>
        <v>390625</v>
      </c>
    </row>
    <row r="66" spans="1:17" x14ac:dyDescent="0.35">
      <c r="A66">
        <v>64</v>
      </c>
      <c r="B66">
        <f t="shared" si="4"/>
        <v>96153.846153846156</v>
      </c>
      <c r="L66">
        <f t="shared" ref="L66:L97" si="6">(100000000/(8*(A66+1)))</f>
        <v>192307.69230769231</v>
      </c>
      <c r="Q66">
        <f t="shared" si="3"/>
        <v>384615.38461538462</v>
      </c>
    </row>
    <row r="67" spans="1:17" x14ac:dyDescent="0.35">
      <c r="A67">
        <v>65</v>
      </c>
      <c r="B67">
        <f t="shared" si="4"/>
        <v>94696.969696969696</v>
      </c>
      <c r="L67">
        <f t="shared" si="6"/>
        <v>189393.93939393939</v>
      </c>
      <c r="Q67">
        <f t="shared" si="3"/>
        <v>378787.87878787878</v>
      </c>
    </row>
    <row r="68" spans="1:17" x14ac:dyDescent="0.35">
      <c r="A68">
        <v>66</v>
      </c>
      <c r="B68">
        <f t="shared" si="4"/>
        <v>93283.582089552234</v>
      </c>
      <c r="L68">
        <f t="shared" si="6"/>
        <v>186567.16417910447</v>
      </c>
      <c r="Q68">
        <f t="shared" si="3"/>
        <v>373134.32835820894</v>
      </c>
    </row>
    <row r="69" spans="1:17" x14ac:dyDescent="0.35">
      <c r="A69">
        <v>67</v>
      </c>
      <c r="B69">
        <f t="shared" si="4"/>
        <v>91911.76470588235</v>
      </c>
      <c r="L69">
        <f t="shared" si="6"/>
        <v>183823.5294117647</v>
      </c>
      <c r="Q69">
        <f t="shared" ref="Q69:Q178" si="7">(200000000/(8*(A69+1)))</f>
        <v>367647.0588235294</v>
      </c>
    </row>
    <row r="70" spans="1:17" x14ac:dyDescent="0.35">
      <c r="A70">
        <v>68</v>
      </c>
      <c r="B70">
        <f t="shared" si="4"/>
        <v>90579.710144927536</v>
      </c>
      <c r="L70">
        <f t="shared" si="6"/>
        <v>181159.42028985507</v>
      </c>
      <c r="Q70">
        <f t="shared" si="7"/>
        <v>362318.84057971014</v>
      </c>
    </row>
    <row r="71" spans="1:17" x14ac:dyDescent="0.35">
      <c r="A71">
        <v>69</v>
      </c>
      <c r="B71">
        <f t="shared" si="4"/>
        <v>89285.71428571429</v>
      </c>
      <c r="L71">
        <f t="shared" si="6"/>
        <v>178571.42857142858</v>
      </c>
      <c r="Q71">
        <f t="shared" si="7"/>
        <v>357142.85714285716</v>
      </c>
    </row>
    <row r="72" spans="1:17" x14ac:dyDescent="0.35">
      <c r="A72">
        <v>70</v>
      </c>
      <c r="B72">
        <f t="shared" si="4"/>
        <v>88028.169014084502</v>
      </c>
      <c r="L72">
        <f t="shared" si="6"/>
        <v>176056.338028169</v>
      </c>
      <c r="Q72">
        <f t="shared" si="7"/>
        <v>352112.67605633801</v>
      </c>
    </row>
    <row r="73" spans="1:17" x14ac:dyDescent="0.35">
      <c r="A73">
        <v>71</v>
      </c>
      <c r="B73">
        <f t="shared" si="4"/>
        <v>86805.555555555562</v>
      </c>
      <c r="L73">
        <f t="shared" si="6"/>
        <v>173611.11111111112</v>
      </c>
      <c r="Q73">
        <f t="shared" si="7"/>
        <v>347222.22222222225</v>
      </c>
    </row>
    <row r="74" spans="1:17" x14ac:dyDescent="0.35">
      <c r="A74">
        <v>72</v>
      </c>
      <c r="B74">
        <f t="shared" si="4"/>
        <v>85616.438356164377</v>
      </c>
      <c r="L74">
        <f t="shared" si="6"/>
        <v>171232.87671232875</v>
      </c>
      <c r="Q74">
        <f t="shared" si="7"/>
        <v>342465.75342465751</v>
      </c>
    </row>
    <row r="75" spans="1:17" x14ac:dyDescent="0.35">
      <c r="A75">
        <v>73</v>
      </c>
      <c r="B75">
        <f t="shared" si="4"/>
        <v>84459.459459459453</v>
      </c>
      <c r="L75">
        <f t="shared" si="6"/>
        <v>168918.91891891891</v>
      </c>
      <c r="Q75">
        <f t="shared" si="7"/>
        <v>337837.83783783781</v>
      </c>
    </row>
    <row r="76" spans="1:17" x14ac:dyDescent="0.35">
      <c r="A76">
        <v>74</v>
      </c>
      <c r="B76">
        <f t="shared" si="4"/>
        <v>83333.333333333328</v>
      </c>
      <c r="L76">
        <f t="shared" si="6"/>
        <v>166666.66666666666</v>
      </c>
      <c r="Q76">
        <f t="shared" si="7"/>
        <v>333333.33333333331</v>
      </c>
    </row>
    <row r="77" spans="1:17" x14ac:dyDescent="0.35">
      <c r="A77">
        <v>75</v>
      </c>
      <c r="B77">
        <f t="shared" si="4"/>
        <v>82236.84210526316</v>
      </c>
      <c r="L77">
        <f t="shared" si="6"/>
        <v>164473.68421052632</v>
      </c>
      <c r="Q77">
        <f t="shared" si="7"/>
        <v>328947.36842105264</v>
      </c>
    </row>
    <row r="78" spans="1:17" x14ac:dyDescent="0.35">
      <c r="A78">
        <v>76</v>
      </c>
      <c r="B78">
        <f t="shared" si="4"/>
        <v>81168.831168831166</v>
      </c>
      <c r="L78">
        <f t="shared" si="6"/>
        <v>162337.66233766233</v>
      </c>
      <c r="Q78">
        <f t="shared" si="7"/>
        <v>324675.32467532466</v>
      </c>
    </row>
    <row r="79" spans="1:17" x14ac:dyDescent="0.35">
      <c r="A79">
        <v>77</v>
      </c>
      <c r="B79">
        <f t="shared" si="4"/>
        <v>80128.205128205125</v>
      </c>
      <c r="L79">
        <f t="shared" si="6"/>
        <v>160256.41025641025</v>
      </c>
      <c r="Q79">
        <f t="shared" si="7"/>
        <v>320512.8205128205</v>
      </c>
    </row>
    <row r="80" spans="1:17" x14ac:dyDescent="0.35">
      <c r="A80">
        <v>78</v>
      </c>
      <c r="B80">
        <f t="shared" si="4"/>
        <v>79113.924050632908</v>
      </c>
      <c r="L80">
        <f t="shared" si="6"/>
        <v>158227.84810126582</v>
      </c>
      <c r="Q80">
        <f t="shared" si="7"/>
        <v>316455.69620253163</v>
      </c>
    </row>
    <row r="81" spans="1:17" x14ac:dyDescent="0.35">
      <c r="A81">
        <v>79</v>
      </c>
      <c r="B81">
        <f t="shared" si="4"/>
        <v>78125</v>
      </c>
      <c r="L81">
        <f t="shared" si="6"/>
        <v>156250</v>
      </c>
      <c r="Q81">
        <f t="shared" si="7"/>
        <v>312500</v>
      </c>
    </row>
    <row r="82" spans="1:17" x14ac:dyDescent="0.35">
      <c r="A82">
        <v>80</v>
      </c>
      <c r="B82">
        <f t="shared" si="4"/>
        <v>77160.493827160491</v>
      </c>
      <c r="L82">
        <f t="shared" si="6"/>
        <v>154320.98765432098</v>
      </c>
      <c r="Q82">
        <f t="shared" si="7"/>
        <v>308641.97530864197</v>
      </c>
    </row>
    <row r="83" spans="1:17" x14ac:dyDescent="0.35">
      <c r="A83">
        <v>81</v>
      </c>
      <c r="B83">
        <f t="shared" si="4"/>
        <v>76219.512195121948</v>
      </c>
      <c r="L83">
        <f t="shared" si="6"/>
        <v>152439.0243902439</v>
      </c>
      <c r="Q83">
        <f t="shared" si="7"/>
        <v>304878.04878048779</v>
      </c>
    </row>
    <row r="84" spans="1:17" x14ac:dyDescent="0.35">
      <c r="A84">
        <v>82</v>
      </c>
      <c r="B84">
        <f t="shared" si="4"/>
        <v>75301.204819277104</v>
      </c>
      <c r="L84">
        <f t="shared" si="6"/>
        <v>150602.40963855421</v>
      </c>
      <c r="Q84">
        <f t="shared" si="7"/>
        <v>301204.81927710841</v>
      </c>
    </row>
    <row r="85" spans="1:17" x14ac:dyDescent="0.35">
      <c r="A85">
        <v>83</v>
      </c>
      <c r="B85">
        <f t="shared" si="4"/>
        <v>74404.761904761908</v>
      </c>
      <c r="L85">
        <f t="shared" si="6"/>
        <v>148809.52380952382</v>
      </c>
      <c r="Q85">
        <f t="shared" si="7"/>
        <v>297619.04761904763</v>
      </c>
    </row>
    <row r="86" spans="1:17" x14ac:dyDescent="0.35">
      <c r="A86">
        <v>84</v>
      </c>
      <c r="B86">
        <f t="shared" si="4"/>
        <v>73529.411764705888</v>
      </c>
      <c r="L86">
        <f t="shared" si="6"/>
        <v>147058.82352941178</v>
      </c>
      <c r="Q86">
        <f t="shared" si="7"/>
        <v>294117.64705882355</v>
      </c>
    </row>
    <row r="87" spans="1:17" x14ac:dyDescent="0.35">
      <c r="A87">
        <v>85</v>
      </c>
      <c r="B87">
        <f t="shared" si="4"/>
        <v>72674.41860465116</v>
      </c>
      <c r="L87">
        <f t="shared" si="6"/>
        <v>145348.83720930232</v>
      </c>
      <c r="Q87">
        <f t="shared" si="7"/>
        <v>290697.67441860464</v>
      </c>
    </row>
    <row r="88" spans="1:17" x14ac:dyDescent="0.35">
      <c r="A88">
        <v>86</v>
      </c>
      <c r="B88">
        <f t="shared" si="4"/>
        <v>71839.080459770121</v>
      </c>
      <c r="L88">
        <f t="shared" si="6"/>
        <v>143678.16091954024</v>
      </c>
      <c r="Q88">
        <f t="shared" si="7"/>
        <v>287356.32183908048</v>
      </c>
    </row>
    <row r="89" spans="1:17" x14ac:dyDescent="0.35">
      <c r="A89">
        <v>87</v>
      </c>
      <c r="B89">
        <f t="shared" si="4"/>
        <v>71022.727272727279</v>
      </c>
      <c r="L89">
        <f t="shared" si="6"/>
        <v>142045.45454545456</v>
      </c>
      <c r="Q89">
        <f t="shared" si="7"/>
        <v>284090.90909090912</v>
      </c>
    </row>
    <row r="90" spans="1:17" x14ac:dyDescent="0.35">
      <c r="A90">
        <v>88</v>
      </c>
      <c r="B90">
        <f t="shared" si="4"/>
        <v>70224.719101123599</v>
      </c>
      <c r="L90">
        <f t="shared" si="6"/>
        <v>140449.4382022472</v>
      </c>
      <c r="Q90">
        <f t="shared" si="7"/>
        <v>280898.8764044944</v>
      </c>
    </row>
    <row r="91" spans="1:17" x14ac:dyDescent="0.35">
      <c r="A91">
        <v>89</v>
      </c>
      <c r="B91">
        <f t="shared" si="4"/>
        <v>69444.444444444438</v>
      </c>
      <c r="L91">
        <f t="shared" si="6"/>
        <v>138888.88888888888</v>
      </c>
      <c r="Q91">
        <f t="shared" si="7"/>
        <v>277777.77777777775</v>
      </c>
    </row>
    <row r="92" spans="1:17" x14ac:dyDescent="0.35">
      <c r="A92">
        <v>90</v>
      </c>
      <c r="B92">
        <f t="shared" si="4"/>
        <v>68681.318681318677</v>
      </c>
      <c r="L92">
        <f t="shared" si="6"/>
        <v>137362.63736263735</v>
      </c>
      <c r="Q92">
        <f t="shared" si="7"/>
        <v>274725.27472527471</v>
      </c>
    </row>
    <row r="93" spans="1:17" x14ac:dyDescent="0.35">
      <c r="A93">
        <v>91</v>
      </c>
      <c r="B93">
        <f t="shared" si="4"/>
        <v>67934.782608695648</v>
      </c>
      <c r="L93">
        <f t="shared" si="6"/>
        <v>135869.5652173913</v>
      </c>
      <c r="Q93">
        <f t="shared" si="7"/>
        <v>271739.13043478259</v>
      </c>
    </row>
    <row r="94" spans="1:17" x14ac:dyDescent="0.35">
      <c r="A94">
        <v>92</v>
      </c>
      <c r="B94">
        <f t="shared" si="4"/>
        <v>67204.301075268813</v>
      </c>
      <c r="L94">
        <f t="shared" si="6"/>
        <v>134408.60215053763</v>
      </c>
      <c r="Q94">
        <f t="shared" si="7"/>
        <v>268817.20430107525</v>
      </c>
    </row>
    <row r="95" spans="1:17" x14ac:dyDescent="0.35">
      <c r="A95">
        <v>93</v>
      </c>
      <c r="B95">
        <f t="shared" si="4"/>
        <v>66489.361702127659</v>
      </c>
      <c r="L95">
        <f t="shared" si="6"/>
        <v>132978.72340425532</v>
      </c>
      <c r="Q95">
        <f t="shared" si="7"/>
        <v>265957.44680851063</v>
      </c>
    </row>
    <row r="96" spans="1:17" x14ac:dyDescent="0.35">
      <c r="A96">
        <v>94</v>
      </c>
      <c r="B96">
        <f t="shared" si="4"/>
        <v>65789.473684210519</v>
      </c>
      <c r="L96">
        <f t="shared" si="6"/>
        <v>131578.94736842104</v>
      </c>
      <c r="Q96">
        <f t="shared" si="7"/>
        <v>263157.89473684208</v>
      </c>
    </row>
    <row r="97" spans="1:20" x14ac:dyDescent="0.35">
      <c r="A97">
        <v>95</v>
      </c>
      <c r="B97">
        <f t="shared" si="4"/>
        <v>65104.166666666664</v>
      </c>
      <c r="L97">
        <f t="shared" si="6"/>
        <v>130208.33333333333</v>
      </c>
      <c r="Q97">
        <f t="shared" si="7"/>
        <v>260416.66666666666</v>
      </c>
    </row>
    <row r="98" spans="1:20" x14ac:dyDescent="0.35">
      <c r="A98">
        <v>96</v>
      </c>
      <c r="B98">
        <f t="shared" si="4"/>
        <v>64432.989690721646</v>
      </c>
      <c r="L98">
        <f t="shared" ref="L98:L178" si="8">(100000000/(8*(A98+1)))</f>
        <v>128865.97938144329</v>
      </c>
      <c r="Q98">
        <f t="shared" si="7"/>
        <v>257731.95876288658</v>
      </c>
    </row>
    <row r="99" spans="1:20" x14ac:dyDescent="0.35">
      <c r="A99">
        <v>97</v>
      </c>
      <c r="B99">
        <f t="shared" si="4"/>
        <v>63775.510204081635</v>
      </c>
      <c r="L99">
        <f t="shared" si="8"/>
        <v>127551.02040816327</v>
      </c>
      <c r="Q99">
        <f t="shared" si="7"/>
        <v>255102.04081632654</v>
      </c>
    </row>
    <row r="100" spans="1:20" x14ac:dyDescent="0.35">
      <c r="A100">
        <v>98</v>
      </c>
      <c r="B100">
        <f t="shared" si="4"/>
        <v>63131.313131313131</v>
      </c>
      <c r="L100">
        <f t="shared" si="8"/>
        <v>126262.62626262626</v>
      </c>
      <c r="Q100">
        <f t="shared" si="7"/>
        <v>252525.25252525252</v>
      </c>
    </row>
    <row r="101" spans="1:20" x14ac:dyDescent="0.35">
      <c r="A101">
        <v>99</v>
      </c>
      <c r="B101">
        <f t="shared" si="4"/>
        <v>62500</v>
      </c>
      <c r="L101">
        <f t="shared" si="8"/>
        <v>125000</v>
      </c>
      <c r="Q101">
        <f t="shared" si="7"/>
        <v>250000</v>
      </c>
    </row>
    <row r="102" spans="1:20" x14ac:dyDescent="0.35">
      <c r="A102">
        <v>100</v>
      </c>
      <c r="B102">
        <f t="shared" si="4"/>
        <v>61881.188118811879</v>
      </c>
      <c r="L102">
        <f t="shared" si="8"/>
        <v>123762.37623762376</v>
      </c>
      <c r="Q102">
        <f t="shared" si="7"/>
        <v>247524.75247524751</v>
      </c>
    </row>
    <row r="103" spans="1:20" x14ac:dyDescent="0.35">
      <c r="A103">
        <v>101</v>
      </c>
      <c r="B103">
        <f t="shared" si="4"/>
        <v>61274.509803921566</v>
      </c>
      <c r="L103">
        <f t="shared" si="8"/>
        <v>122549.01960784313</v>
      </c>
      <c r="Q103">
        <f t="shared" si="7"/>
        <v>245098.03921568627</v>
      </c>
    </row>
    <row r="104" spans="1:20" x14ac:dyDescent="0.35">
      <c r="A104">
        <v>102</v>
      </c>
      <c r="B104">
        <f t="shared" si="4"/>
        <v>60679.611650485436</v>
      </c>
      <c r="L104">
        <f t="shared" si="8"/>
        <v>121359.22330097087</v>
      </c>
      <c r="Q104">
        <f t="shared" si="7"/>
        <v>242718.44660194175</v>
      </c>
    </row>
    <row r="105" spans="1:20" x14ac:dyDescent="0.35">
      <c r="A105">
        <v>103</v>
      </c>
      <c r="B105">
        <f t="shared" si="4"/>
        <v>60096.153846153844</v>
      </c>
      <c r="L105">
        <f t="shared" si="8"/>
        <v>120192.30769230769</v>
      </c>
      <c r="Q105">
        <f t="shared" si="7"/>
        <v>240384.61538461538</v>
      </c>
    </row>
    <row r="106" spans="1:20" x14ac:dyDescent="0.35">
      <c r="A106">
        <v>104</v>
      </c>
      <c r="B106">
        <f t="shared" si="4"/>
        <v>59523.809523809527</v>
      </c>
      <c r="L106">
        <f t="shared" si="8"/>
        <v>119047.61904761905</v>
      </c>
      <c r="Q106">
        <f t="shared" si="7"/>
        <v>238095.23809523811</v>
      </c>
    </row>
    <row r="107" spans="1:20" x14ac:dyDescent="0.35">
      <c r="A107">
        <v>105</v>
      </c>
      <c r="B107">
        <f t="shared" si="4"/>
        <v>58962.264150943396</v>
      </c>
      <c r="L107">
        <f t="shared" si="8"/>
        <v>117924.52830188679</v>
      </c>
      <c r="Q107">
        <f t="shared" si="7"/>
        <v>235849.05660377358</v>
      </c>
      <c r="R107">
        <v>230400</v>
      </c>
      <c r="S107">
        <f>Q107/R107</f>
        <v>1.0236504192872118</v>
      </c>
    </row>
    <row r="108" spans="1:20" x14ac:dyDescent="0.35">
      <c r="A108">
        <v>106</v>
      </c>
      <c r="B108">
        <f t="shared" si="4"/>
        <v>58411.214953271025</v>
      </c>
      <c r="L108">
        <f t="shared" si="8"/>
        <v>116822.42990654205</v>
      </c>
      <c r="Q108">
        <f t="shared" si="7"/>
        <v>233644.8598130841</v>
      </c>
      <c r="R108">
        <v>230400</v>
      </c>
      <c r="S108">
        <f>Q108/R108</f>
        <v>1.0140835929387331</v>
      </c>
    </row>
    <row r="109" spans="1:20" x14ac:dyDescent="0.35">
      <c r="A109">
        <v>107</v>
      </c>
      <c r="B109">
        <f t="shared" si="4"/>
        <v>57870.370370370372</v>
      </c>
      <c r="L109">
        <f t="shared" si="8"/>
        <v>115740.74074074074</v>
      </c>
      <c r="M109" s="1">
        <v>115200</v>
      </c>
      <c r="N109" s="1">
        <f>L109/M109</f>
        <v>1.0046939300411524</v>
      </c>
      <c r="O109" s="1" t="s">
        <v>6</v>
      </c>
      <c r="Q109" s="1">
        <f t="shared" si="7"/>
        <v>231481.48148148149</v>
      </c>
      <c r="R109" s="1">
        <v>230400</v>
      </c>
      <c r="S109" s="1">
        <f>Q109/R109</f>
        <v>1.0046939300411524</v>
      </c>
      <c r="T109" s="1" t="s">
        <v>5</v>
      </c>
    </row>
    <row r="110" spans="1:20" x14ac:dyDescent="0.35">
      <c r="A110">
        <v>108</v>
      </c>
      <c r="B110">
        <f t="shared" si="4"/>
        <v>57339.449541284404</v>
      </c>
      <c r="L110">
        <f t="shared" si="8"/>
        <v>114678.89908256881</v>
      </c>
      <c r="M110">
        <v>115200</v>
      </c>
      <c r="N110">
        <f>L110/M110</f>
        <v>0.99547655453618755</v>
      </c>
      <c r="O110" t="s">
        <v>16</v>
      </c>
      <c r="Q110">
        <f t="shared" si="7"/>
        <v>229357.79816513762</v>
      </c>
      <c r="R110">
        <v>230400</v>
      </c>
      <c r="S110">
        <f>Q110/R110</f>
        <v>0.99547655453618755</v>
      </c>
    </row>
    <row r="111" spans="1:20" x14ac:dyDescent="0.35">
      <c r="A111">
        <v>109</v>
      </c>
      <c r="B111">
        <f t="shared" si="4"/>
        <v>56818.181818181816</v>
      </c>
      <c r="L111">
        <f t="shared" si="8"/>
        <v>113636.36363636363</v>
      </c>
      <c r="M111">
        <v>115200</v>
      </c>
      <c r="N111">
        <f>L111/M111</f>
        <v>0.98642676767676762</v>
      </c>
      <c r="O111" t="s">
        <v>16</v>
      </c>
      <c r="Q111">
        <f t="shared" si="7"/>
        <v>227272.72727272726</v>
      </c>
    </row>
    <row r="112" spans="1:20" x14ac:dyDescent="0.35">
      <c r="A112">
        <v>110</v>
      </c>
      <c r="B112">
        <f t="shared" si="4"/>
        <v>56306.306306306309</v>
      </c>
      <c r="L112">
        <f t="shared" si="8"/>
        <v>112612.61261261262</v>
      </c>
      <c r="Q112">
        <f t="shared" si="7"/>
        <v>225225.22522522524</v>
      </c>
    </row>
    <row r="113" spans="1:17" x14ac:dyDescent="0.35">
      <c r="A113">
        <v>111</v>
      </c>
      <c r="B113">
        <f t="shared" si="4"/>
        <v>55803.571428571428</v>
      </c>
      <c r="L113">
        <f t="shared" si="8"/>
        <v>111607.14285714286</v>
      </c>
      <c r="Q113">
        <f t="shared" si="7"/>
        <v>223214.28571428571</v>
      </c>
    </row>
    <row r="114" spans="1:17" x14ac:dyDescent="0.35">
      <c r="A114">
        <v>112</v>
      </c>
      <c r="B114">
        <f t="shared" si="4"/>
        <v>55309.734513274336</v>
      </c>
      <c r="L114">
        <f t="shared" si="8"/>
        <v>110619.46902654867</v>
      </c>
      <c r="Q114">
        <f t="shared" si="7"/>
        <v>221238.93805309734</v>
      </c>
    </row>
    <row r="115" spans="1:17" x14ac:dyDescent="0.35">
      <c r="A115">
        <v>113</v>
      </c>
      <c r="B115">
        <f t="shared" si="4"/>
        <v>54824.561403508771</v>
      </c>
      <c r="L115">
        <f t="shared" si="8"/>
        <v>109649.12280701754</v>
      </c>
      <c r="Q115">
        <f t="shared" si="7"/>
        <v>219298.24561403508</v>
      </c>
    </row>
    <row r="116" spans="1:17" x14ac:dyDescent="0.35">
      <c r="A116">
        <v>114</v>
      </c>
      <c r="B116">
        <f t="shared" si="4"/>
        <v>54347.82608695652</v>
      </c>
      <c r="L116">
        <f t="shared" si="8"/>
        <v>108695.65217391304</v>
      </c>
      <c r="Q116">
        <f t="shared" si="7"/>
        <v>217391.30434782608</v>
      </c>
    </row>
    <row r="117" spans="1:17" x14ac:dyDescent="0.35">
      <c r="A117">
        <v>115</v>
      </c>
      <c r="B117">
        <f t="shared" si="4"/>
        <v>53879.310344827587</v>
      </c>
      <c r="L117">
        <f t="shared" si="8"/>
        <v>107758.62068965517</v>
      </c>
      <c r="Q117">
        <f t="shared" si="7"/>
        <v>215517.24137931035</v>
      </c>
    </row>
    <row r="118" spans="1:17" x14ac:dyDescent="0.35">
      <c r="A118">
        <v>116</v>
      </c>
      <c r="B118">
        <f t="shared" si="4"/>
        <v>53418.803418803422</v>
      </c>
      <c r="L118">
        <f t="shared" si="8"/>
        <v>106837.60683760684</v>
      </c>
      <c r="Q118">
        <f t="shared" si="7"/>
        <v>213675.21367521369</v>
      </c>
    </row>
    <row r="119" spans="1:17" x14ac:dyDescent="0.35">
      <c r="A119">
        <v>117</v>
      </c>
      <c r="B119">
        <f t="shared" si="4"/>
        <v>52966.101694915254</v>
      </c>
      <c r="L119">
        <f t="shared" si="8"/>
        <v>105932.20338983051</v>
      </c>
      <c r="Q119">
        <f t="shared" si="7"/>
        <v>211864.40677966102</v>
      </c>
    </row>
    <row r="120" spans="1:17" x14ac:dyDescent="0.35">
      <c r="A120">
        <v>118</v>
      </c>
      <c r="B120">
        <f t="shared" si="4"/>
        <v>52521.008403361346</v>
      </c>
      <c r="L120">
        <f t="shared" si="8"/>
        <v>105042.01680672269</v>
      </c>
      <c r="Q120">
        <f t="shared" si="7"/>
        <v>210084.03361344538</v>
      </c>
    </row>
    <row r="121" spans="1:17" x14ac:dyDescent="0.35">
      <c r="A121">
        <v>119</v>
      </c>
      <c r="B121">
        <f t="shared" si="4"/>
        <v>52083.333333333336</v>
      </c>
      <c r="L121">
        <f t="shared" si="8"/>
        <v>104166.66666666667</v>
      </c>
      <c r="Q121">
        <f t="shared" si="7"/>
        <v>208333.33333333334</v>
      </c>
    </row>
    <row r="122" spans="1:17" x14ac:dyDescent="0.35">
      <c r="A122">
        <v>120</v>
      </c>
      <c r="B122">
        <f t="shared" si="4"/>
        <v>51652.89256198347</v>
      </c>
      <c r="L122">
        <f t="shared" si="8"/>
        <v>103305.78512396694</v>
      </c>
      <c r="Q122">
        <f t="shared" si="7"/>
        <v>206611.57024793388</v>
      </c>
    </row>
    <row r="123" spans="1:17" x14ac:dyDescent="0.35">
      <c r="A123">
        <v>121</v>
      </c>
      <c r="B123">
        <f t="shared" si="4"/>
        <v>51229.508196721312</v>
      </c>
      <c r="L123">
        <f t="shared" si="8"/>
        <v>102459.01639344262</v>
      </c>
      <c r="Q123">
        <f t="shared" si="7"/>
        <v>204918.03278688525</v>
      </c>
    </row>
    <row r="124" spans="1:17" x14ac:dyDescent="0.35">
      <c r="A124">
        <v>122</v>
      </c>
      <c r="B124">
        <f t="shared" si="4"/>
        <v>50813.008130081304</v>
      </c>
      <c r="L124">
        <f t="shared" si="8"/>
        <v>101626.01626016261</v>
      </c>
      <c r="Q124">
        <f t="shared" si="7"/>
        <v>203252.03252032521</v>
      </c>
    </row>
    <row r="125" spans="1:17" x14ac:dyDescent="0.35">
      <c r="A125">
        <v>123</v>
      </c>
      <c r="B125">
        <f t="shared" si="4"/>
        <v>50403.225806451614</v>
      </c>
      <c r="L125">
        <f t="shared" si="8"/>
        <v>100806.45161290323</v>
      </c>
      <c r="Q125">
        <f t="shared" si="7"/>
        <v>201612.90322580645</v>
      </c>
    </row>
    <row r="126" spans="1:17" x14ac:dyDescent="0.35">
      <c r="A126">
        <v>124</v>
      </c>
      <c r="B126">
        <f t="shared" si="4"/>
        <v>50000</v>
      </c>
      <c r="L126">
        <f t="shared" si="8"/>
        <v>100000</v>
      </c>
      <c r="Q126">
        <f t="shared" si="7"/>
        <v>200000</v>
      </c>
    </row>
    <row r="127" spans="1:17" x14ac:dyDescent="0.35">
      <c r="A127">
        <v>125</v>
      </c>
      <c r="B127">
        <f t="shared" si="4"/>
        <v>49603.174603174601</v>
      </c>
      <c r="L127">
        <f t="shared" si="8"/>
        <v>99206.349206349201</v>
      </c>
      <c r="Q127">
        <f t="shared" si="7"/>
        <v>198412.6984126984</v>
      </c>
    </row>
    <row r="128" spans="1:17" x14ac:dyDescent="0.35">
      <c r="A128">
        <v>126</v>
      </c>
      <c r="B128">
        <f t="shared" si="4"/>
        <v>49212.598425196848</v>
      </c>
      <c r="L128">
        <f t="shared" si="8"/>
        <v>98425.196850393695</v>
      </c>
      <c r="Q128">
        <f t="shared" si="7"/>
        <v>196850.39370078739</v>
      </c>
    </row>
    <row r="129" spans="1:17" x14ac:dyDescent="0.35">
      <c r="A129">
        <v>127</v>
      </c>
      <c r="B129">
        <f t="shared" si="4"/>
        <v>48828.125</v>
      </c>
      <c r="L129">
        <f t="shared" si="8"/>
        <v>97656.25</v>
      </c>
      <c r="Q129">
        <f t="shared" si="7"/>
        <v>195312.5</v>
      </c>
    </row>
    <row r="130" spans="1:17" x14ac:dyDescent="0.35">
      <c r="A130">
        <v>128</v>
      </c>
      <c r="B130">
        <f t="shared" si="4"/>
        <v>48449.612403100778</v>
      </c>
      <c r="L130">
        <f t="shared" si="8"/>
        <v>96899.224806201557</v>
      </c>
      <c r="Q130">
        <f t="shared" si="7"/>
        <v>193798.44961240311</v>
      </c>
    </row>
    <row r="131" spans="1:17" x14ac:dyDescent="0.35">
      <c r="A131">
        <v>129</v>
      </c>
      <c r="B131">
        <f t="shared" si="4"/>
        <v>48076.923076923078</v>
      </c>
      <c r="L131">
        <f t="shared" si="8"/>
        <v>96153.846153846156</v>
      </c>
      <c r="Q131">
        <f t="shared" si="7"/>
        <v>192307.69230769231</v>
      </c>
    </row>
    <row r="132" spans="1:17" x14ac:dyDescent="0.35">
      <c r="A132">
        <v>130</v>
      </c>
      <c r="B132">
        <f t="shared" si="4"/>
        <v>47709.923664122136</v>
      </c>
      <c r="L132">
        <f t="shared" si="8"/>
        <v>95419.847328244272</v>
      </c>
      <c r="Q132">
        <f t="shared" si="7"/>
        <v>190839.69465648854</v>
      </c>
    </row>
    <row r="133" spans="1:17" x14ac:dyDescent="0.35">
      <c r="A133">
        <v>131</v>
      </c>
      <c r="B133">
        <f t="shared" si="4"/>
        <v>47348.484848484848</v>
      </c>
      <c r="L133">
        <f t="shared" si="8"/>
        <v>94696.969696969696</v>
      </c>
      <c r="Q133">
        <f t="shared" si="7"/>
        <v>189393.93939393939</v>
      </c>
    </row>
    <row r="134" spans="1:17" x14ac:dyDescent="0.35">
      <c r="A134">
        <v>132</v>
      </c>
      <c r="B134">
        <f t="shared" si="4"/>
        <v>46992.481203007519</v>
      </c>
      <c r="L134">
        <f t="shared" si="8"/>
        <v>93984.962406015038</v>
      </c>
      <c r="Q134">
        <f t="shared" si="7"/>
        <v>187969.92481203008</v>
      </c>
    </row>
    <row r="135" spans="1:17" x14ac:dyDescent="0.35">
      <c r="A135">
        <v>133</v>
      </c>
      <c r="B135">
        <f t="shared" si="4"/>
        <v>46641.791044776117</v>
      </c>
      <c r="L135">
        <f t="shared" si="8"/>
        <v>93283.582089552234</v>
      </c>
      <c r="Q135">
        <f t="shared" si="7"/>
        <v>186567.16417910447</v>
      </c>
    </row>
    <row r="136" spans="1:17" x14ac:dyDescent="0.35">
      <c r="A136">
        <v>134</v>
      </c>
      <c r="B136">
        <f t="shared" si="4"/>
        <v>46296.296296296299</v>
      </c>
      <c r="L136">
        <f t="shared" si="8"/>
        <v>92592.592592592599</v>
      </c>
      <c r="Q136">
        <f t="shared" si="7"/>
        <v>185185.1851851852</v>
      </c>
    </row>
    <row r="137" spans="1:17" x14ac:dyDescent="0.35">
      <c r="A137">
        <v>135</v>
      </c>
      <c r="B137">
        <f t="shared" si="4"/>
        <v>45955.882352941175</v>
      </c>
      <c r="L137">
        <f t="shared" si="8"/>
        <v>91911.76470588235</v>
      </c>
      <c r="Q137">
        <f t="shared" si="7"/>
        <v>183823.5294117647</v>
      </c>
    </row>
    <row r="138" spans="1:17" x14ac:dyDescent="0.35">
      <c r="A138">
        <v>136</v>
      </c>
      <c r="B138">
        <f t="shared" si="4"/>
        <v>45620.437956204376</v>
      </c>
      <c r="L138">
        <f t="shared" si="8"/>
        <v>91240.875912408752</v>
      </c>
      <c r="Q138">
        <f t="shared" si="7"/>
        <v>182481.7518248175</v>
      </c>
    </row>
    <row r="139" spans="1:17" x14ac:dyDescent="0.35">
      <c r="A139">
        <v>137</v>
      </c>
      <c r="B139">
        <f t="shared" si="4"/>
        <v>45289.855072463768</v>
      </c>
      <c r="L139">
        <f t="shared" si="8"/>
        <v>90579.710144927536</v>
      </c>
      <c r="Q139">
        <f t="shared" si="7"/>
        <v>181159.42028985507</v>
      </c>
    </row>
    <row r="140" spans="1:17" x14ac:dyDescent="0.35">
      <c r="A140">
        <v>138</v>
      </c>
      <c r="B140">
        <f t="shared" si="4"/>
        <v>44964.028776978419</v>
      </c>
      <c r="L140">
        <f t="shared" si="8"/>
        <v>89928.057553956838</v>
      </c>
      <c r="Q140">
        <f t="shared" si="7"/>
        <v>179856.11510791368</v>
      </c>
    </row>
    <row r="141" spans="1:17" x14ac:dyDescent="0.35">
      <c r="A141">
        <v>139</v>
      </c>
      <c r="B141">
        <f t="shared" si="4"/>
        <v>44642.857142857145</v>
      </c>
      <c r="L141">
        <f t="shared" si="8"/>
        <v>89285.71428571429</v>
      </c>
      <c r="Q141">
        <f t="shared" si="7"/>
        <v>178571.42857142858</v>
      </c>
    </row>
    <row r="142" spans="1:17" x14ac:dyDescent="0.35">
      <c r="A142">
        <v>140</v>
      </c>
      <c r="B142">
        <f t="shared" si="4"/>
        <v>44326.24113475177</v>
      </c>
      <c r="L142">
        <f t="shared" si="8"/>
        <v>88652.48226950354</v>
      </c>
      <c r="Q142">
        <f t="shared" si="7"/>
        <v>177304.96453900708</v>
      </c>
    </row>
    <row r="143" spans="1:17" x14ac:dyDescent="0.35">
      <c r="A143">
        <v>141</v>
      </c>
      <c r="B143">
        <f t="shared" si="4"/>
        <v>44014.084507042251</v>
      </c>
      <c r="L143">
        <f t="shared" si="8"/>
        <v>88028.169014084502</v>
      </c>
      <c r="Q143">
        <f t="shared" si="7"/>
        <v>176056.338028169</v>
      </c>
    </row>
    <row r="144" spans="1:17" x14ac:dyDescent="0.35">
      <c r="A144">
        <v>142</v>
      </c>
      <c r="B144">
        <f t="shared" si="4"/>
        <v>43706.293706293705</v>
      </c>
      <c r="L144">
        <f t="shared" si="8"/>
        <v>87412.587412587411</v>
      </c>
      <c r="Q144">
        <f t="shared" si="7"/>
        <v>174825.17482517482</v>
      </c>
    </row>
    <row r="145" spans="1:17" x14ac:dyDescent="0.35">
      <c r="A145">
        <v>143</v>
      </c>
      <c r="B145">
        <f t="shared" si="4"/>
        <v>43402.777777777781</v>
      </c>
      <c r="L145">
        <f t="shared" si="8"/>
        <v>86805.555555555562</v>
      </c>
      <c r="Q145">
        <f t="shared" si="7"/>
        <v>173611.11111111112</v>
      </c>
    </row>
    <row r="146" spans="1:17" x14ac:dyDescent="0.35">
      <c r="A146">
        <v>144</v>
      </c>
      <c r="B146">
        <f t="shared" si="4"/>
        <v>43103.448275862072</v>
      </c>
      <c r="L146">
        <f t="shared" si="8"/>
        <v>86206.896551724145</v>
      </c>
      <c r="Q146">
        <f t="shared" si="7"/>
        <v>172413.79310344829</v>
      </c>
    </row>
    <row r="147" spans="1:17" x14ac:dyDescent="0.35">
      <c r="A147">
        <v>145</v>
      </c>
      <c r="B147">
        <f t="shared" si="4"/>
        <v>42808.219178082189</v>
      </c>
      <c r="L147">
        <f t="shared" si="8"/>
        <v>85616.438356164377</v>
      </c>
      <c r="Q147">
        <f t="shared" si="7"/>
        <v>171232.87671232875</v>
      </c>
    </row>
    <row r="148" spans="1:17" x14ac:dyDescent="0.35">
      <c r="A148">
        <v>146</v>
      </c>
      <c r="B148">
        <f t="shared" si="4"/>
        <v>42517.006802721087</v>
      </c>
      <c r="L148">
        <f t="shared" si="8"/>
        <v>85034.013605442175</v>
      </c>
      <c r="Q148">
        <f t="shared" si="7"/>
        <v>170068.02721088435</v>
      </c>
    </row>
    <row r="149" spans="1:17" x14ac:dyDescent="0.35">
      <c r="A149">
        <v>147</v>
      </c>
      <c r="B149">
        <f t="shared" si="4"/>
        <v>42229.729729729726</v>
      </c>
      <c r="L149">
        <f t="shared" si="8"/>
        <v>84459.459459459453</v>
      </c>
      <c r="Q149">
        <f t="shared" si="7"/>
        <v>168918.91891891891</v>
      </c>
    </row>
    <row r="150" spans="1:17" x14ac:dyDescent="0.35">
      <c r="A150">
        <v>148</v>
      </c>
      <c r="B150">
        <f t="shared" si="4"/>
        <v>41946.308724832212</v>
      </c>
      <c r="L150">
        <f t="shared" si="8"/>
        <v>83892.617449664423</v>
      </c>
      <c r="Q150">
        <f t="shared" si="7"/>
        <v>167785.23489932885</v>
      </c>
    </row>
    <row r="151" spans="1:17" x14ac:dyDescent="0.35">
      <c r="A151">
        <v>149</v>
      </c>
      <c r="B151">
        <f t="shared" si="4"/>
        <v>41666.666666666664</v>
      </c>
      <c r="L151">
        <f t="shared" si="8"/>
        <v>83333.333333333328</v>
      </c>
      <c r="Q151">
        <f t="shared" si="7"/>
        <v>166666.66666666666</v>
      </c>
    </row>
    <row r="152" spans="1:17" x14ac:dyDescent="0.35">
      <c r="A152">
        <v>150</v>
      </c>
      <c r="B152">
        <f t="shared" si="4"/>
        <v>41390.72847682119</v>
      </c>
      <c r="L152">
        <f t="shared" si="8"/>
        <v>82781.456953642381</v>
      </c>
      <c r="Q152">
        <f t="shared" si="7"/>
        <v>165562.91390728476</v>
      </c>
    </row>
    <row r="153" spans="1:17" x14ac:dyDescent="0.35">
      <c r="A153">
        <v>151</v>
      </c>
      <c r="B153">
        <f t="shared" si="4"/>
        <v>41118.42105263158</v>
      </c>
      <c r="L153">
        <f t="shared" si="8"/>
        <v>82236.84210526316</v>
      </c>
      <c r="Q153">
        <f t="shared" si="7"/>
        <v>164473.68421052632</v>
      </c>
    </row>
    <row r="154" spans="1:17" x14ac:dyDescent="0.35">
      <c r="A154">
        <v>152</v>
      </c>
      <c r="B154">
        <f t="shared" si="4"/>
        <v>40849.67320261438</v>
      </c>
      <c r="L154">
        <f t="shared" si="8"/>
        <v>81699.34640522876</v>
      </c>
      <c r="Q154">
        <f t="shared" si="7"/>
        <v>163398.69281045752</v>
      </c>
    </row>
    <row r="155" spans="1:17" x14ac:dyDescent="0.35">
      <c r="A155">
        <v>153</v>
      </c>
      <c r="B155">
        <f t="shared" si="4"/>
        <v>40584.415584415583</v>
      </c>
      <c r="L155">
        <f t="shared" si="8"/>
        <v>81168.831168831166</v>
      </c>
      <c r="Q155">
        <f t="shared" si="7"/>
        <v>162337.66233766233</v>
      </c>
    </row>
    <row r="156" spans="1:17" x14ac:dyDescent="0.35">
      <c r="A156">
        <v>154</v>
      </c>
      <c r="B156">
        <f t="shared" si="4"/>
        <v>40322.580645161288</v>
      </c>
      <c r="L156">
        <f t="shared" si="8"/>
        <v>80645.161290322576</v>
      </c>
      <c r="Q156">
        <f t="shared" si="7"/>
        <v>161290.32258064515</v>
      </c>
    </row>
    <row r="157" spans="1:17" x14ac:dyDescent="0.35">
      <c r="A157">
        <v>155</v>
      </c>
      <c r="B157">
        <f t="shared" si="4"/>
        <v>40064.102564102563</v>
      </c>
      <c r="L157">
        <f t="shared" si="8"/>
        <v>80128.205128205125</v>
      </c>
      <c r="Q157">
        <f t="shared" si="7"/>
        <v>160256.41025641025</v>
      </c>
    </row>
    <row r="158" spans="1:17" x14ac:dyDescent="0.35">
      <c r="A158">
        <v>156</v>
      </c>
      <c r="B158">
        <f t="shared" si="4"/>
        <v>39808.917197452232</v>
      </c>
      <c r="L158">
        <f t="shared" si="8"/>
        <v>79617.834394904465</v>
      </c>
      <c r="Q158">
        <f t="shared" si="7"/>
        <v>159235.66878980893</v>
      </c>
    </row>
    <row r="159" spans="1:17" x14ac:dyDescent="0.35">
      <c r="A159">
        <v>157</v>
      </c>
      <c r="B159">
        <f t="shared" si="4"/>
        <v>39556.962025316454</v>
      </c>
      <c r="L159">
        <f t="shared" si="8"/>
        <v>79113.924050632908</v>
      </c>
      <c r="Q159">
        <f t="shared" si="7"/>
        <v>158227.84810126582</v>
      </c>
    </row>
    <row r="160" spans="1:17" x14ac:dyDescent="0.35">
      <c r="A160">
        <v>158</v>
      </c>
      <c r="B160">
        <f t="shared" si="4"/>
        <v>39308.176100628931</v>
      </c>
      <c r="L160">
        <f t="shared" si="8"/>
        <v>78616.352201257861</v>
      </c>
      <c r="Q160">
        <f t="shared" si="7"/>
        <v>157232.70440251572</v>
      </c>
    </row>
    <row r="161" spans="1:17" x14ac:dyDescent="0.35">
      <c r="A161">
        <v>159</v>
      </c>
      <c r="B161">
        <f t="shared" si="4"/>
        <v>39062.5</v>
      </c>
      <c r="L161">
        <f t="shared" si="8"/>
        <v>78125</v>
      </c>
      <c r="Q161">
        <f t="shared" si="7"/>
        <v>156250</v>
      </c>
    </row>
    <row r="162" spans="1:17" x14ac:dyDescent="0.35">
      <c r="A162">
        <v>160</v>
      </c>
      <c r="B162">
        <f t="shared" si="4"/>
        <v>38819.875776397515</v>
      </c>
      <c r="L162">
        <f t="shared" si="8"/>
        <v>77639.751552795031</v>
      </c>
      <c r="Q162">
        <f t="shared" si="7"/>
        <v>155279.50310559006</v>
      </c>
    </row>
    <row r="163" spans="1:17" x14ac:dyDescent="0.35">
      <c r="A163">
        <v>161</v>
      </c>
      <c r="B163">
        <f t="shared" si="4"/>
        <v>38580.246913580246</v>
      </c>
      <c r="L163">
        <f t="shared" si="8"/>
        <v>77160.493827160491</v>
      </c>
      <c r="Q163">
        <f t="shared" si="7"/>
        <v>154320.98765432098</v>
      </c>
    </row>
    <row r="164" spans="1:17" x14ac:dyDescent="0.35">
      <c r="A164">
        <v>162</v>
      </c>
      <c r="B164">
        <f t="shared" si="4"/>
        <v>38343.558282208593</v>
      </c>
      <c r="L164">
        <f t="shared" si="8"/>
        <v>76687.116564417185</v>
      </c>
      <c r="Q164">
        <f t="shared" si="7"/>
        <v>153374.23312883437</v>
      </c>
    </row>
    <row r="165" spans="1:17" x14ac:dyDescent="0.35">
      <c r="A165">
        <v>163</v>
      </c>
      <c r="B165">
        <f t="shared" si="4"/>
        <v>38109.756097560974</v>
      </c>
      <c r="L165">
        <f t="shared" si="8"/>
        <v>76219.512195121948</v>
      </c>
      <c r="Q165">
        <f t="shared" si="7"/>
        <v>152439.0243902439</v>
      </c>
    </row>
    <row r="166" spans="1:17" x14ac:dyDescent="0.35">
      <c r="A166">
        <v>164</v>
      </c>
      <c r="B166">
        <f t="shared" si="4"/>
        <v>37878.78787878788</v>
      </c>
      <c r="L166">
        <f t="shared" si="8"/>
        <v>75757.57575757576</v>
      </c>
      <c r="Q166">
        <f t="shared" si="7"/>
        <v>151515.15151515152</v>
      </c>
    </row>
    <row r="167" spans="1:17" x14ac:dyDescent="0.35">
      <c r="A167">
        <v>165</v>
      </c>
      <c r="B167">
        <f t="shared" si="4"/>
        <v>37650.602409638552</v>
      </c>
      <c r="L167">
        <f t="shared" si="8"/>
        <v>75301.204819277104</v>
      </c>
      <c r="Q167">
        <f t="shared" si="7"/>
        <v>150602.40963855421</v>
      </c>
    </row>
    <row r="168" spans="1:17" x14ac:dyDescent="0.35">
      <c r="A168">
        <v>166</v>
      </c>
      <c r="B168">
        <f t="shared" si="4"/>
        <v>37425.149700598806</v>
      </c>
      <c r="L168">
        <f t="shared" si="8"/>
        <v>74850.299401197612</v>
      </c>
      <c r="Q168">
        <f t="shared" si="7"/>
        <v>149700.59880239522</v>
      </c>
    </row>
    <row r="169" spans="1:17" x14ac:dyDescent="0.35">
      <c r="A169">
        <v>167</v>
      </c>
      <c r="B169">
        <f t="shared" si="4"/>
        <v>37202.380952380954</v>
      </c>
      <c r="L169">
        <f t="shared" si="8"/>
        <v>74404.761904761908</v>
      </c>
      <c r="Q169">
        <f t="shared" si="7"/>
        <v>148809.52380952382</v>
      </c>
    </row>
    <row r="170" spans="1:17" x14ac:dyDescent="0.35">
      <c r="A170">
        <v>168</v>
      </c>
      <c r="B170">
        <f t="shared" si="4"/>
        <v>36982.248520710062</v>
      </c>
      <c r="L170">
        <f t="shared" si="8"/>
        <v>73964.497041420123</v>
      </c>
      <c r="Q170">
        <f t="shared" si="7"/>
        <v>147928.99408284025</v>
      </c>
    </row>
    <row r="171" spans="1:17" x14ac:dyDescent="0.35">
      <c r="A171">
        <v>169</v>
      </c>
      <c r="B171">
        <f t="shared" si="4"/>
        <v>36764.705882352944</v>
      </c>
      <c r="L171">
        <f t="shared" si="8"/>
        <v>73529.411764705888</v>
      </c>
      <c r="Q171">
        <f t="shared" si="7"/>
        <v>147058.82352941178</v>
      </c>
    </row>
    <row r="172" spans="1:17" x14ac:dyDescent="0.35">
      <c r="A172">
        <v>170</v>
      </c>
      <c r="B172">
        <f t="shared" si="4"/>
        <v>36549.707602339178</v>
      </c>
      <c r="L172">
        <f t="shared" si="8"/>
        <v>73099.415204678357</v>
      </c>
      <c r="Q172">
        <f t="shared" si="7"/>
        <v>146198.83040935671</v>
      </c>
    </row>
    <row r="173" spans="1:17" x14ac:dyDescent="0.35">
      <c r="A173">
        <v>171</v>
      </c>
      <c r="B173">
        <f t="shared" si="4"/>
        <v>36337.20930232558</v>
      </c>
      <c r="L173">
        <f t="shared" si="8"/>
        <v>72674.41860465116</v>
      </c>
      <c r="Q173">
        <f t="shared" si="7"/>
        <v>145348.83720930232</v>
      </c>
    </row>
    <row r="174" spans="1:17" x14ac:dyDescent="0.35">
      <c r="A174">
        <v>172</v>
      </c>
      <c r="B174">
        <f t="shared" si="4"/>
        <v>36127.167630057804</v>
      </c>
      <c r="L174">
        <f t="shared" si="8"/>
        <v>72254.335260115608</v>
      </c>
      <c r="Q174">
        <f t="shared" si="7"/>
        <v>144508.67052023122</v>
      </c>
    </row>
    <row r="175" spans="1:17" x14ac:dyDescent="0.35">
      <c r="A175">
        <v>173</v>
      </c>
      <c r="B175">
        <f t="shared" si="4"/>
        <v>35919.54022988506</v>
      </c>
      <c r="L175">
        <f t="shared" si="8"/>
        <v>71839.080459770121</v>
      </c>
      <c r="Q175">
        <f t="shared" si="7"/>
        <v>143678.16091954024</v>
      </c>
    </row>
    <row r="176" spans="1:17" x14ac:dyDescent="0.35">
      <c r="A176">
        <v>174</v>
      </c>
      <c r="B176">
        <f t="shared" si="4"/>
        <v>35714.285714285717</v>
      </c>
      <c r="L176">
        <f t="shared" si="8"/>
        <v>71428.571428571435</v>
      </c>
      <c r="Q176">
        <f t="shared" si="7"/>
        <v>142857.14285714287</v>
      </c>
    </row>
    <row r="177" spans="1:17" x14ac:dyDescent="0.35">
      <c r="A177">
        <v>175</v>
      </c>
      <c r="B177">
        <f t="shared" si="4"/>
        <v>35511.36363636364</v>
      </c>
      <c r="L177">
        <f t="shared" si="8"/>
        <v>71022.727272727279</v>
      </c>
      <c r="Q177">
        <f t="shared" si="7"/>
        <v>142045.45454545456</v>
      </c>
    </row>
    <row r="178" spans="1:17" x14ac:dyDescent="0.35">
      <c r="A178">
        <v>176</v>
      </c>
      <c r="B178">
        <f t="shared" si="4"/>
        <v>35310.734463276836</v>
      </c>
      <c r="L178">
        <f t="shared" si="8"/>
        <v>70621.468926553673</v>
      </c>
      <c r="Q178">
        <f t="shared" si="7"/>
        <v>141242.93785310735</v>
      </c>
    </row>
    <row r="179" spans="1:17" x14ac:dyDescent="0.35">
      <c r="A179">
        <v>177</v>
      </c>
      <c r="B179">
        <f t="shared" ref="B179:B242" si="9">(50000000/(8*(A179+1)))</f>
        <v>35112.3595505618</v>
      </c>
      <c r="L179">
        <f t="shared" ref="L179:L242" si="10">(100000000/(8*(A179+1)))</f>
        <v>70224.719101123599</v>
      </c>
      <c r="Q179">
        <f t="shared" ref="Q179:Q242" si="11">(200000000/(8*(A179+1)))</f>
        <v>140449.4382022472</v>
      </c>
    </row>
    <row r="180" spans="1:17" x14ac:dyDescent="0.35">
      <c r="A180">
        <v>178</v>
      </c>
      <c r="B180">
        <f t="shared" si="9"/>
        <v>34916.201117318436</v>
      </c>
      <c r="L180">
        <f t="shared" si="10"/>
        <v>69832.402234636873</v>
      </c>
      <c r="Q180">
        <f t="shared" si="11"/>
        <v>139664.80446927375</v>
      </c>
    </row>
    <row r="181" spans="1:17" x14ac:dyDescent="0.35">
      <c r="A181">
        <v>179</v>
      </c>
      <c r="B181">
        <f t="shared" si="9"/>
        <v>34722.222222222219</v>
      </c>
      <c r="L181">
        <f t="shared" si="10"/>
        <v>69444.444444444438</v>
      </c>
      <c r="Q181">
        <f t="shared" si="11"/>
        <v>138888.88888888888</v>
      </c>
    </row>
    <row r="182" spans="1:17" x14ac:dyDescent="0.35">
      <c r="A182">
        <v>180</v>
      </c>
      <c r="B182">
        <f t="shared" si="9"/>
        <v>34530.386740331494</v>
      </c>
      <c r="L182">
        <f t="shared" si="10"/>
        <v>69060.773480662989</v>
      </c>
      <c r="Q182">
        <f t="shared" si="11"/>
        <v>138121.54696132598</v>
      </c>
    </row>
    <row r="183" spans="1:17" x14ac:dyDescent="0.35">
      <c r="A183">
        <v>181</v>
      </c>
      <c r="B183">
        <f t="shared" si="9"/>
        <v>34340.659340659338</v>
      </c>
      <c r="L183">
        <f t="shared" si="10"/>
        <v>68681.318681318677</v>
      </c>
      <c r="Q183">
        <f t="shared" si="11"/>
        <v>137362.63736263735</v>
      </c>
    </row>
    <row r="184" spans="1:17" x14ac:dyDescent="0.35">
      <c r="A184">
        <v>182</v>
      </c>
      <c r="B184">
        <f t="shared" si="9"/>
        <v>34153.005464480877</v>
      </c>
      <c r="L184">
        <f t="shared" si="10"/>
        <v>68306.010928961754</v>
      </c>
      <c r="Q184">
        <f t="shared" si="11"/>
        <v>136612.02185792351</v>
      </c>
    </row>
    <row r="185" spans="1:17" x14ac:dyDescent="0.35">
      <c r="A185">
        <v>183</v>
      </c>
      <c r="B185">
        <f t="shared" si="9"/>
        <v>33967.391304347824</v>
      </c>
      <c r="L185">
        <f t="shared" si="10"/>
        <v>67934.782608695648</v>
      </c>
      <c r="Q185">
        <f t="shared" si="11"/>
        <v>135869.5652173913</v>
      </c>
    </row>
    <row r="186" spans="1:17" x14ac:dyDescent="0.35">
      <c r="A186">
        <v>184</v>
      </c>
      <c r="B186">
        <f t="shared" si="9"/>
        <v>33783.783783783787</v>
      </c>
      <c r="L186">
        <f t="shared" si="10"/>
        <v>67567.567567567574</v>
      </c>
      <c r="Q186">
        <f t="shared" si="11"/>
        <v>135135.13513513515</v>
      </c>
    </row>
    <row r="187" spans="1:17" x14ac:dyDescent="0.35">
      <c r="A187">
        <v>185</v>
      </c>
      <c r="B187">
        <f t="shared" si="9"/>
        <v>33602.150537634407</v>
      </c>
      <c r="L187">
        <f t="shared" si="10"/>
        <v>67204.301075268813</v>
      </c>
      <c r="Q187">
        <f t="shared" si="11"/>
        <v>134408.60215053763</v>
      </c>
    </row>
    <row r="188" spans="1:17" x14ac:dyDescent="0.35">
      <c r="A188">
        <v>186</v>
      </c>
      <c r="B188">
        <f t="shared" si="9"/>
        <v>33422.45989304813</v>
      </c>
      <c r="L188">
        <f t="shared" si="10"/>
        <v>66844.919786096259</v>
      </c>
      <c r="Q188">
        <f t="shared" si="11"/>
        <v>133689.83957219252</v>
      </c>
    </row>
    <row r="189" spans="1:17" x14ac:dyDescent="0.35">
      <c r="A189">
        <v>187</v>
      </c>
      <c r="B189">
        <f t="shared" si="9"/>
        <v>33244.680851063829</v>
      </c>
      <c r="L189">
        <f t="shared" si="10"/>
        <v>66489.361702127659</v>
      </c>
      <c r="Q189">
        <f t="shared" si="11"/>
        <v>132978.72340425532</v>
      </c>
    </row>
    <row r="190" spans="1:17" x14ac:dyDescent="0.35">
      <c r="A190">
        <v>188</v>
      </c>
      <c r="B190">
        <f t="shared" si="9"/>
        <v>33068.783068783072</v>
      </c>
      <c r="L190">
        <f t="shared" si="10"/>
        <v>66137.566137566144</v>
      </c>
      <c r="Q190">
        <f t="shared" si="11"/>
        <v>132275.13227513229</v>
      </c>
    </row>
    <row r="191" spans="1:17" x14ac:dyDescent="0.35">
      <c r="A191">
        <v>189</v>
      </c>
      <c r="B191">
        <f t="shared" si="9"/>
        <v>32894.73684210526</v>
      </c>
      <c r="L191">
        <f t="shared" si="10"/>
        <v>65789.473684210519</v>
      </c>
      <c r="Q191">
        <f t="shared" si="11"/>
        <v>131578.94736842104</v>
      </c>
    </row>
    <row r="192" spans="1:17" x14ac:dyDescent="0.35">
      <c r="A192">
        <v>190</v>
      </c>
      <c r="B192">
        <f t="shared" si="9"/>
        <v>32722.513089005235</v>
      </c>
      <c r="L192">
        <f t="shared" si="10"/>
        <v>65445.02617801047</v>
      </c>
      <c r="Q192">
        <f t="shared" si="11"/>
        <v>130890.05235602094</v>
      </c>
    </row>
    <row r="193" spans="1:17" x14ac:dyDescent="0.35">
      <c r="A193">
        <v>191</v>
      </c>
      <c r="B193">
        <f t="shared" si="9"/>
        <v>32552.083333333332</v>
      </c>
      <c r="L193">
        <f t="shared" si="10"/>
        <v>65104.166666666664</v>
      </c>
      <c r="Q193">
        <f t="shared" si="11"/>
        <v>130208.33333333333</v>
      </c>
    </row>
    <row r="194" spans="1:17" x14ac:dyDescent="0.35">
      <c r="A194">
        <v>192</v>
      </c>
      <c r="B194">
        <f t="shared" si="9"/>
        <v>32383.419689119171</v>
      </c>
      <c r="L194">
        <f t="shared" si="10"/>
        <v>64766.839378238343</v>
      </c>
      <c r="Q194">
        <f t="shared" si="11"/>
        <v>129533.67875647669</v>
      </c>
    </row>
    <row r="195" spans="1:17" x14ac:dyDescent="0.35">
      <c r="A195">
        <v>193</v>
      </c>
      <c r="B195">
        <f t="shared" si="9"/>
        <v>32216.494845360823</v>
      </c>
      <c r="L195">
        <f t="shared" si="10"/>
        <v>64432.989690721646</v>
      </c>
      <c r="Q195">
        <f t="shared" si="11"/>
        <v>128865.97938144329</v>
      </c>
    </row>
    <row r="196" spans="1:17" x14ac:dyDescent="0.35">
      <c r="A196">
        <v>194</v>
      </c>
      <c r="B196">
        <f t="shared" si="9"/>
        <v>32051.282051282051</v>
      </c>
      <c r="L196">
        <f t="shared" si="10"/>
        <v>64102.564102564102</v>
      </c>
      <c r="Q196">
        <f t="shared" si="11"/>
        <v>128205.1282051282</v>
      </c>
    </row>
    <row r="197" spans="1:17" x14ac:dyDescent="0.35">
      <c r="A197">
        <v>195</v>
      </c>
      <c r="B197">
        <f t="shared" si="9"/>
        <v>31887.755102040817</v>
      </c>
      <c r="L197">
        <f t="shared" si="10"/>
        <v>63775.510204081635</v>
      </c>
      <c r="Q197">
        <f t="shared" si="11"/>
        <v>127551.02040816327</v>
      </c>
    </row>
    <row r="198" spans="1:17" x14ac:dyDescent="0.35">
      <c r="A198">
        <v>196</v>
      </c>
      <c r="B198">
        <f t="shared" si="9"/>
        <v>31725.888324873096</v>
      </c>
      <c r="L198">
        <f t="shared" si="10"/>
        <v>63451.776649746193</v>
      </c>
      <c r="Q198">
        <f t="shared" si="11"/>
        <v>126903.55329949239</v>
      </c>
    </row>
    <row r="199" spans="1:17" x14ac:dyDescent="0.35">
      <c r="A199">
        <v>197</v>
      </c>
      <c r="B199">
        <f t="shared" si="9"/>
        <v>31565.656565656565</v>
      </c>
      <c r="L199">
        <f t="shared" si="10"/>
        <v>63131.313131313131</v>
      </c>
      <c r="Q199">
        <f t="shared" si="11"/>
        <v>126262.62626262626</v>
      </c>
    </row>
    <row r="200" spans="1:17" x14ac:dyDescent="0.35">
      <c r="A200">
        <v>198</v>
      </c>
      <c r="B200">
        <f t="shared" si="9"/>
        <v>31407.035175879399</v>
      </c>
      <c r="L200">
        <f t="shared" si="10"/>
        <v>62814.070351758797</v>
      </c>
      <c r="Q200">
        <f t="shared" si="11"/>
        <v>125628.14070351759</v>
      </c>
    </row>
    <row r="201" spans="1:17" x14ac:dyDescent="0.35">
      <c r="A201">
        <v>199</v>
      </c>
      <c r="B201">
        <f t="shared" si="9"/>
        <v>31250</v>
      </c>
      <c r="L201">
        <f t="shared" si="10"/>
        <v>62500</v>
      </c>
      <c r="Q201">
        <f t="shared" si="11"/>
        <v>125000</v>
      </c>
    </row>
    <row r="202" spans="1:17" x14ac:dyDescent="0.35">
      <c r="A202">
        <v>200</v>
      </c>
      <c r="B202">
        <f t="shared" si="9"/>
        <v>31094.527363184079</v>
      </c>
      <c r="L202">
        <f t="shared" si="10"/>
        <v>62189.054726368158</v>
      </c>
      <c r="Q202">
        <f t="shared" si="11"/>
        <v>124378.10945273632</v>
      </c>
    </row>
    <row r="203" spans="1:17" x14ac:dyDescent="0.35">
      <c r="A203">
        <v>201</v>
      </c>
      <c r="B203">
        <f t="shared" si="9"/>
        <v>30940.594059405939</v>
      </c>
      <c r="L203">
        <f t="shared" si="10"/>
        <v>61881.188118811879</v>
      </c>
      <c r="Q203">
        <f t="shared" si="11"/>
        <v>123762.37623762376</v>
      </c>
    </row>
    <row r="204" spans="1:17" x14ac:dyDescent="0.35">
      <c r="A204">
        <v>202</v>
      </c>
      <c r="B204">
        <f t="shared" si="9"/>
        <v>30788.177339901478</v>
      </c>
      <c r="L204">
        <f t="shared" si="10"/>
        <v>61576.354679802957</v>
      </c>
      <c r="Q204">
        <f t="shared" si="11"/>
        <v>123152.70935960591</v>
      </c>
    </row>
    <row r="205" spans="1:17" x14ac:dyDescent="0.35">
      <c r="A205">
        <v>203</v>
      </c>
      <c r="B205">
        <f t="shared" si="9"/>
        <v>30637.254901960783</v>
      </c>
      <c r="L205">
        <f t="shared" si="10"/>
        <v>61274.509803921566</v>
      </c>
      <c r="Q205">
        <f t="shared" si="11"/>
        <v>122549.01960784313</v>
      </c>
    </row>
    <row r="206" spans="1:17" x14ac:dyDescent="0.35">
      <c r="A206">
        <v>204</v>
      </c>
      <c r="B206">
        <f t="shared" si="9"/>
        <v>30487.804878048781</v>
      </c>
      <c r="L206">
        <f t="shared" si="10"/>
        <v>60975.609756097561</v>
      </c>
      <c r="Q206">
        <f t="shared" si="11"/>
        <v>121951.21951219512</v>
      </c>
    </row>
    <row r="207" spans="1:17" x14ac:dyDescent="0.35">
      <c r="A207">
        <v>205</v>
      </c>
      <c r="B207">
        <f t="shared" si="9"/>
        <v>30339.805825242718</v>
      </c>
      <c r="L207">
        <f t="shared" si="10"/>
        <v>60679.611650485436</v>
      </c>
      <c r="Q207">
        <f t="shared" si="11"/>
        <v>121359.22330097087</v>
      </c>
    </row>
    <row r="208" spans="1:17" x14ac:dyDescent="0.35">
      <c r="A208">
        <v>206</v>
      </c>
      <c r="B208">
        <f t="shared" si="9"/>
        <v>30193.236714975847</v>
      </c>
      <c r="L208">
        <f t="shared" si="10"/>
        <v>60386.473429951693</v>
      </c>
      <c r="Q208">
        <f t="shared" si="11"/>
        <v>120772.94685990339</v>
      </c>
    </row>
    <row r="209" spans="1:20" x14ac:dyDescent="0.35">
      <c r="A209">
        <v>207</v>
      </c>
      <c r="B209">
        <f t="shared" si="9"/>
        <v>30048.076923076922</v>
      </c>
      <c r="L209">
        <f t="shared" si="10"/>
        <v>60096.153846153844</v>
      </c>
      <c r="Q209">
        <f t="shared" si="11"/>
        <v>120192.30769230769</v>
      </c>
    </row>
    <row r="210" spans="1:20" x14ac:dyDescent="0.35">
      <c r="A210">
        <v>208</v>
      </c>
      <c r="B210">
        <f t="shared" si="9"/>
        <v>29904.306220095692</v>
      </c>
      <c r="L210">
        <f t="shared" si="10"/>
        <v>59808.612440191384</v>
      </c>
      <c r="Q210">
        <f t="shared" si="11"/>
        <v>119617.22488038277</v>
      </c>
    </row>
    <row r="211" spans="1:20" x14ac:dyDescent="0.35">
      <c r="A211">
        <v>209</v>
      </c>
      <c r="B211">
        <f t="shared" si="9"/>
        <v>29761.904761904763</v>
      </c>
      <c r="L211">
        <f t="shared" si="10"/>
        <v>59523.809523809527</v>
      </c>
      <c r="Q211">
        <f t="shared" si="11"/>
        <v>119047.61904761905</v>
      </c>
    </row>
    <row r="212" spans="1:20" x14ac:dyDescent="0.35">
      <c r="A212">
        <v>210</v>
      </c>
      <c r="B212">
        <f t="shared" si="9"/>
        <v>29620.853080568719</v>
      </c>
      <c r="L212">
        <f t="shared" si="10"/>
        <v>59241.706161137437</v>
      </c>
      <c r="Q212">
        <f t="shared" si="11"/>
        <v>118483.41232227487</v>
      </c>
    </row>
    <row r="213" spans="1:20" x14ac:dyDescent="0.35">
      <c r="A213">
        <v>211</v>
      </c>
      <c r="B213">
        <f t="shared" si="9"/>
        <v>29481.132075471698</v>
      </c>
      <c r="L213">
        <f t="shared" si="10"/>
        <v>58962.264150943396</v>
      </c>
      <c r="Q213">
        <f t="shared" si="11"/>
        <v>117924.52830188679</v>
      </c>
    </row>
    <row r="214" spans="1:20" x14ac:dyDescent="0.35">
      <c r="A214">
        <v>212</v>
      </c>
      <c r="B214">
        <f t="shared" si="9"/>
        <v>29342.723004694835</v>
      </c>
      <c r="L214">
        <f t="shared" si="10"/>
        <v>58685.446009389671</v>
      </c>
      <c r="Q214">
        <f t="shared" si="11"/>
        <v>117370.89201877934</v>
      </c>
    </row>
    <row r="215" spans="1:20" x14ac:dyDescent="0.35">
      <c r="A215">
        <v>213</v>
      </c>
      <c r="B215">
        <f t="shared" si="9"/>
        <v>29205.607476635512</v>
      </c>
      <c r="L215">
        <f t="shared" si="10"/>
        <v>58411.214953271025</v>
      </c>
      <c r="Q215">
        <f t="shared" si="11"/>
        <v>116822.42990654205</v>
      </c>
    </row>
    <row r="216" spans="1:20" x14ac:dyDescent="0.35">
      <c r="A216">
        <v>214</v>
      </c>
      <c r="B216">
        <f t="shared" si="9"/>
        <v>29069.767441860466</v>
      </c>
      <c r="L216">
        <f t="shared" si="10"/>
        <v>58139.534883720931</v>
      </c>
      <c r="Q216">
        <f t="shared" si="11"/>
        <v>116279.06976744186</v>
      </c>
      <c r="R216">
        <v>115200</v>
      </c>
      <c r="S216">
        <f>Q216/R216</f>
        <v>1.0093669250645996</v>
      </c>
    </row>
    <row r="217" spans="1:20" x14ac:dyDescent="0.35">
      <c r="A217">
        <v>215</v>
      </c>
      <c r="B217">
        <f t="shared" si="9"/>
        <v>28935.185185185186</v>
      </c>
      <c r="L217">
        <f t="shared" si="10"/>
        <v>57870.370370370372</v>
      </c>
      <c r="Q217">
        <f t="shared" si="11"/>
        <v>115740.74074074074</v>
      </c>
      <c r="R217">
        <v>115200</v>
      </c>
      <c r="S217">
        <f>Q217/R217</f>
        <v>1.0046939300411524</v>
      </c>
    </row>
    <row r="218" spans="1:20" x14ac:dyDescent="0.35">
      <c r="A218">
        <v>216</v>
      </c>
      <c r="B218">
        <f t="shared" si="9"/>
        <v>28801.843317972351</v>
      </c>
      <c r="L218">
        <f t="shared" si="10"/>
        <v>57603.686635944701</v>
      </c>
      <c r="Q218" s="1">
        <f t="shared" si="11"/>
        <v>115207.3732718894</v>
      </c>
      <c r="R218" s="1">
        <v>115200</v>
      </c>
      <c r="S218" s="1">
        <f>Q218/R218</f>
        <v>1.0000640040962623</v>
      </c>
      <c r="T218" s="1" t="s">
        <v>6</v>
      </c>
    </row>
    <row r="219" spans="1:20" x14ac:dyDescent="0.35">
      <c r="A219">
        <v>217</v>
      </c>
      <c r="B219">
        <f t="shared" si="9"/>
        <v>28669.724770642202</v>
      </c>
      <c r="L219">
        <f t="shared" si="10"/>
        <v>57339.449541284404</v>
      </c>
      <c r="Q219">
        <f t="shared" si="11"/>
        <v>114678.89908256881</v>
      </c>
      <c r="R219">
        <v>115200</v>
      </c>
      <c r="S219">
        <f>Q219/R219</f>
        <v>0.99547655453618755</v>
      </c>
    </row>
    <row r="220" spans="1:20" x14ac:dyDescent="0.35">
      <c r="A220">
        <v>218</v>
      </c>
      <c r="B220">
        <f t="shared" si="9"/>
        <v>28538.812785388127</v>
      </c>
      <c r="L220">
        <f t="shared" si="10"/>
        <v>57077.625570776254</v>
      </c>
      <c r="Q220">
        <f t="shared" si="11"/>
        <v>114155.25114155251</v>
      </c>
    </row>
    <row r="221" spans="1:20" x14ac:dyDescent="0.35">
      <c r="A221">
        <v>219</v>
      </c>
      <c r="B221">
        <f t="shared" si="9"/>
        <v>28409.090909090908</v>
      </c>
      <c r="L221">
        <f t="shared" si="10"/>
        <v>56818.181818181816</v>
      </c>
      <c r="Q221">
        <f t="shared" si="11"/>
        <v>113636.36363636363</v>
      </c>
    </row>
    <row r="222" spans="1:20" x14ac:dyDescent="0.35">
      <c r="A222">
        <v>220</v>
      </c>
      <c r="B222">
        <f t="shared" si="9"/>
        <v>28280.542986425338</v>
      </c>
      <c r="L222">
        <f t="shared" si="10"/>
        <v>56561.085972850677</v>
      </c>
      <c r="Q222">
        <f t="shared" si="11"/>
        <v>113122.17194570135</v>
      </c>
    </row>
    <row r="223" spans="1:20" x14ac:dyDescent="0.35">
      <c r="A223">
        <v>221</v>
      </c>
      <c r="B223">
        <f t="shared" si="9"/>
        <v>28153.153153153155</v>
      </c>
      <c r="L223">
        <f t="shared" si="10"/>
        <v>56306.306306306309</v>
      </c>
      <c r="Q223">
        <f t="shared" si="11"/>
        <v>112612.61261261262</v>
      </c>
    </row>
    <row r="224" spans="1:20" x14ac:dyDescent="0.35">
      <c r="A224">
        <v>222</v>
      </c>
      <c r="B224">
        <f t="shared" si="9"/>
        <v>28026.905829596413</v>
      </c>
      <c r="L224">
        <f t="shared" si="10"/>
        <v>56053.811659192826</v>
      </c>
      <c r="Q224">
        <f t="shared" si="11"/>
        <v>112107.62331838565</v>
      </c>
    </row>
    <row r="225" spans="1:17" x14ac:dyDescent="0.35">
      <c r="A225">
        <v>223</v>
      </c>
      <c r="B225">
        <f t="shared" si="9"/>
        <v>27901.785714285714</v>
      </c>
      <c r="L225">
        <f t="shared" si="10"/>
        <v>55803.571428571428</v>
      </c>
      <c r="Q225">
        <f t="shared" si="11"/>
        <v>111607.14285714286</v>
      </c>
    </row>
    <row r="226" spans="1:17" x14ac:dyDescent="0.35">
      <c r="A226">
        <v>224</v>
      </c>
      <c r="B226">
        <f t="shared" si="9"/>
        <v>27777.777777777777</v>
      </c>
      <c r="L226">
        <f t="shared" si="10"/>
        <v>55555.555555555555</v>
      </c>
      <c r="Q226">
        <f t="shared" si="11"/>
        <v>111111.11111111111</v>
      </c>
    </row>
    <row r="227" spans="1:17" x14ac:dyDescent="0.35">
      <c r="A227">
        <v>225</v>
      </c>
      <c r="B227">
        <f t="shared" si="9"/>
        <v>27654.867256637168</v>
      </c>
      <c r="L227">
        <f t="shared" si="10"/>
        <v>55309.734513274336</v>
      </c>
      <c r="Q227">
        <f t="shared" si="11"/>
        <v>110619.46902654867</v>
      </c>
    </row>
    <row r="228" spans="1:17" x14ac:dyDescent="0.35">
      <c r="A228">
        <v>226</v>
      </c>
      <c r="B228">
        <f t="shared" si="9"/>
        <v>27533.039647577094</v>
      </c>
      <c r="L228">
        <f t="shared" si="10"/>
        <v>55066.079295154188</v>
      </c>
      <c r="Q228">
        <f t="shared" si="11"/>
        <v>110132.15859030838</v>
      </c>
    </row>
    <row r="229" spans="1:17" x14ac:dyDescent="0.35">
      <c r="A229">
        <v>227</v>
      </c>
      <c r="B229">
        <f t="shared" si="9"/>
        <v>27412.280701754386</v>
      </c>
      <c r="L229">
        <f t="shared" si="10"/>
        <v>54824.561403508771</v>
      </c>
      <c r="Q229">
        <f t="shared" si="11"/>
        <v>109649.12280701754</v>
      </c>
    </row>
    <row r="230" spans="1:17" x14ac:dyDescent="0.35">
      <c r="A230">
        <v>228</v>
      </c>
      <c r="B230">
        <f t="shared" si="9"/>
        <v>27292.576419213972</v>
      </c>
      <c r="L230">
        <f t="shared" si="10"/>
        <v>54585.152838427945</v>
      </c>
      <c r="Q230">
        <f t="shared" si="11"/>
        <v>109170.30567685589</v>
      </c>
    </row>
    <row r="231" spans="1:17" x14ac:dyDescent="0.35">
      <c r="A231">
        <v>229</v>
      </c>
      <c r="B231">
        <f t="shared" si="9"/>
        <v>27173.91304347826</v>
      </c>
      <c r="L231">
        <f t="shared" si="10"/>
        <v>54347.82608695652</v>
      </c>
      <c r="Q231">
        <f t="shared" si="11"/>
        <v>108695.65217391304</v>
      </c>
    </row>
    <row r="232" spans="1:17" x14ac:dyDescent="0.35">
      <c r="A232">
        <v>230</v>
      </c>
      <c r="B232">
        <f t="shared" si="9"/>
        <v>27056.277056277057</v>
      </c>
      <c r="L232">
        <f t="shared" si="10"/>
        <v>54112.554112554113</v>
      </c>
      <c r="Q232">
        <f t="shared" si="11"/>
        <v>108225.10822510823</v>
      </c>
    </row>
    <row r="233" spans="1:17" x14ac:dyDescent="0.35">
      <c r="A233">
        <v>231</v>
      </c>
      <c r="B233">
        <f t="shared" si="9"/>
        <v>26939.655172413793</v>
      </c>
      <c r="L233">
        <f t="shared" si="10"/>
        <v>53879.310344827587</v>
      </c>
      <c r="Q233">
        <f t="shared" si="11"/>
        <v>107758.62068965517</v>
      </c>
    </row>
    <row r="234" spans="1:17" x14ac:dyDescent="0.35">
      <c r="A234">
        <v>232</v>
      </c>
      <c r="B234">
        <f t="shared" si="9"/>
        <v>26824.03433476395</v>
      </c>
      <c r="L234">
        <f t="shared" si="10"/>
        <v>53648.0686695279</v>
      </c>
      <c r="Q234">
        <f t="shared" si="11"/>
        <v>107296.1373390558</v>
      </c>
    </row>
    <row r="235" spans="1:17" x14ac:dyDescent="0.35">
      <c r="A235">
        <v>233</v>
      </c>
      <c r="B235">
        <f t="shared" si="9"/>
        <v>26709.401709401711</v>
      </c>
      <c r="L235">
        <f t="shared" si="10"/>
        <v>53418.803418803422</v>
      </c>
      <c r="Q235">
        <f t="shared" si="11"/>
        <v>106837.60683760684</v>
      </c>
    </row>
    <row r="236" spans="1:17" x14ac:dyDescent="0.35">
      <c r="A236">
        <v>234</v>
      </c>
      <c r="B236">
        <f t="shared" si="9"/>
        <v>26595.744680851065</v>
      </c>
      <c r="L236">
        <f t="shared" si="10"/>
        <v>53191.48936170213</v>
      </c>
      <c r="Q236">
        <f t="shared" si="11"/>
        <v>106382.97872340426</v>
      </c>
    </row>
    <row r="237" spans="1:17" x14ac:dyDescent="0.35">
      <c r="A237">
        <v>235</v>
      </c>
      <c r="B237">
        <f t="shared" si="9"/>
        <v>26483.050847457627</v>
      </c>
      <c r="L237">
        <f t="shared" si="10"/>
        <v>52966.101694915254</v>
      </c>
      <c r="Q237">
        <f t="shared" si="11"/>
        <v>105932.20338983051</v>
      </c>
    </row>
    <row r="238" spans="1:17" x14ac:dyDescent="0.35">
      <c r="A238">
        <v>236</v>
      </c>
      <c r="B238">
        <f t="shared" si="9"/>
        <v>26371.308016877636</v>
      </c>
      <c r="L238">
        <f t="shared" si="10"/>
        <v>52742.616033755272</v>
      </c>
      <c r="Q238">
        <f t="shared" si="11"/>
        <v>105485.23206751054</v>
      </c>
    </row>
    <row r="239" spans="1:17" x14ac:dyDescent="0.35">
      <c r="A239">
        <v>237</v>
      </c>
      <c r="B239">
        <f t="shared" si="9"/>
        <v>26260.504201680673</v>
      </c>
      <c r="L239">
        <f t="shared" si="10"/>
        <v>52521.008403361346</v>
      </c>
      <c r="Q239">
        <f t="shared" si="11"/>
        <v>105042.01680672269</v>
      </c>
    </row>
    <row r="240" spans="1:17" x14ac:dyDescent="0.35">
      <c r="A240">
        <v>238</v>
      </c>
      <c r="B240">
        <f t="shared" si="9"/>
        <v>26150.62761506276</v>
      </c>
      <c r="L240">
        <f t="shared" si="10"/>
        <v>52301.25523012552</v>
      </c>
      <c r="Q240">
        <f t="shared" si="11"/>
        <v>104602.51046025104</v>
      </c>
    </row>
    <row r="241" spans="1:17" x14ac:dyDescent="0.35">
      <c r="A241">
        <v>239</v>
      </c>
      <c r="B241">
        <f t="shared" si="9"/>
        <v>26041.666666666668</v>
      </c>
      <c r="L241">
        <f t="shared" si="10"/>
        <v>52083.333333333336</v>
      </c>
      <c r="Q241">
        <f t="shared" si="11"/>
        <v>104166.66666666667</v>
      </c>
    </row>
    <row r="242" spans="1:17" x14ac:dyDescent="0.35">
      <c r="A242">
        <v>240</v>
      </c>
      <c r="B242">
        <f t="shared" si="9"/>
        <v>25933.609958506226</v>
      </c>
      <c r="L242">
        <f t="shared" si="10"/>
        <v>51867.219917012451</v>
      </c>
      <c r="Q242">
        <f t="shared" si="11"/>
        <v>103734.4398340249</v>
      </c>
    </row>
    <row r="243" spans="1:17" x14ac:dyDescent="0.35">
      <c r="A243">
        <v>241</v>
      </c>
      <c r="B243">
        <f t="shared" ref="B243:B257" si="12">(50000000/(8*(A243+1)))</f>
        <v>25826.446280991735</v>
      </c>
      <c r="L243">
        <f t="shared" ref="L243:L257" si="13">(100000000/(8*(A243+1)))</f>
        <v>51652.89256198347</v>
      </c>
      <c r="Q243">
        <f t="shared" ref="Q243:Q257" si="14">(200000000/(8*(A243+1)))</f>
        <v>103305.78512396694</v>
      </c>
    </row>
    <row r="244" spans="1:17" x14ac:dyDescent="0.35">
      <c r="A244">
        <v>242</v>
      </c>
      <c r="B244">
        <f t="shared" si="12"/>
        <v>25720.1646090535</v>
      </c>
      <c r="L244">
        <f t="shared" si="13"/>
        <v>51440.329218106999</v>
      </c>
      <c r="Q244">
        <f t="shared" si="14"/>
        <v>102880.658436214</v>
      </c>
    </row>
    <row r="245" spans="1:17" x14ac:dyDescent="0.35">
      <c r="A245">
        <v>243</v>
      </c>
      <c r="B245">
        <f t="shared" si="12"/>
        <v>25614.754098360656</v>
      </c>
      <c r="L245">
        <f t="shared" si="13"/>
        <v>51229.508196721312</v>
      </c>
      <c r="Q245">
        <f t="shared" si="14"/>
        <v>102459.01639344262</v>
      </c>
    </row>
    <row r="246" spans="1:17" x14ac:dyDescent="0.35">
      <c r="A246">
        <v>244</v>
      </c>
      <c r="B246">
        <f t="shared" si="12"/>
        <v>25510.204081632652</v>
      </c>
      <c r="L246">
        <f t="shared" si="13"/>
        <v>51020.408163265303</v>
      </c>
      <c r="Q246">
        <f t="shared" si="14"/>
        <v>102040.81632653061</v>
      </c>
    </row>
    <row r="247" spans="1:17" x14ac:dyDescent="0.35">
      <c r="A247">
        <v>245</v>
      </c>
      <c r="B247">
        <f t="shared" si="12"/>
        <v>25406.504065040652</v>
      </c>
      <c r="L247">
        <f t="shared" si="13"/>
        <v>50813.008130081304</v>
      </c>
      <c r="Q247">
        <f t="shared" si="14"/>
        <v>101626.01626016261</v>
      </c>
    </row>
    <row r="248" spans="1:17" x14ac:dyDescent="0.35">
      <c r="A248">
        <v>246</v>
      </c>
      <c r="B248">
        <f t="shared" si="12"/>
        <v>25303.643724696358</v>
      </c>
      <c r="L248">
        <f t="shared" si="13"/>
        <v>50607.287449392716</v>
      </c>
      <c r="Q248">
        <f t="shared" si="14"/>
        <v>101214.57489878543</v>
      </c>
    </row>
    <row r="249" spans="1:17" x14ac:dyDescent="0.35">
      <c r="A249">
        <v>247</v>
      </c>
      <c r="B249">
        <f t="shared" si="12"/>
        <v>25201.612903225807</v>
      </c>
      <c r="L249">
        <f t="shared" si="13"/>
        <v>50403.225806451614</v>
      </c>
      <c r="Q249">
        <f t="shared" si="14"/>
        <v>100806.45161290323</v>
      </c>
    </row>
    <row r="250" spans="1:17" x14ac:dyDescent="0.35">
      <c r="A250">
        <v>248</v>
      </c>
      <c r="B250">
        <f t="shared" si="12"/>
        <v>25100.401606425701</v>
      </c>
      <c r="L250">
        <f t="shared" si="13"/>
        <v>50200.803212851402</v>
      </c>
      <c r="Q250">
        <f t="shared" si="14"/>
        <v>100401.6064257028</v>
      </c>
    </row>
    <row r="251" spans="1:17" x14ac:dyDescent="0.35">
      <c r="A251">
        <v>249</v>
      </c>
      <c r="B251">
        <f t="shared" si="12"/>
        <v>25000</v>
      </c>
      <c r="L251">
        <f t="shared" si="13"/>
        <v>50000</v>
      </c>
      <c r="Q251">
        <f t="shared" si="14"/>
        <v>100000</v>
      </c>
    </row>
    <row r="252" spans="1:17" x14ac:dyDescent="0.35">
      <c r="A252">
        <v>250</v>
      </c>
      <c r="B252">
        <f t="shared" si="12"/>
        <v>24900.398406374501</v>
      </c>
      <c r="L252">
        <f t="shared" si="13"/>
        <v>49800.796812749002</v>
      </c>
      <c r="Q252">
        <f t="shared" si="14"/>
        <v>99601.593625498004</v>
      </c>
    </row>
    <row r="253" spans="1:17" x14ac:dyDescent="0.35">
      <c r="A253">
        <v>251</v>
      </c>
      <c r="B253">
        <f t="shared" si="12"/>
        <v>24801.5873015873</v>
      </c>
      <c r="L253">
        <f t="shared" si="13"/>
        <v>49603.174603174601</v>
      </c>
      <c r="Q253">
        <f t="shared" si="14"/>
        <v>99206.349206349201</v>
      </c>
    </row>
    <row r="254" spans="1:17" x14ac:dyDescent="0.35">
      <c r="A254">
        <v>252</v>
      </c>
      <c r="B254">
        <f t="shared" si="12"/>
        <v>24703.557312252964</v>
      </c>
      <c r="L254">
        <f t="shared" si="13"/>
        <v>49407.114624505928</v>
      </c>
      <c r="Q254">
        <f t="shared" si="14"/>
        <v>98814.229249011856</v>
      </c>
    </row>
    <row r="255" spans="1:17" x14ac:dyDescent="0.35">
      <c r="A255">
        <v>253</v>
      </c>
      <c r="B255">
        <f t="shared" si="12"/>
        <v>24606.299212598424</v>
      </c>
      <c r="L255">
        <f t="shared" si="13"/>
        <v>49212.598425196848</v>
      </c>
      <c r="Q255">
        <f t="shared" si="14"/>
        <v>98425.196850393695</v>
      </c>
    </row>
    <row r="256" spans="1:17" x14ac:dyDescent="0.35">
      <c r="A256">
        <v>254</v>
      </c>
      <c r="B256">
        <f t="shared" si="12"/>
        <v>24509.803921568626</v>
      </c>
      <c r="L256">
        <f t="shared" si="13"/>
        <v>49019.607843137252</v>
      </c>
      <c r="Q256">
        <f t="shared" si="14"/>
        <v>98039.215686274503</v>
      </c>
    </row>
    <row r="257" spans="1:17" x14ac:dyDescent="0.35">
      <c r="A257">
        <v>255</v>
      </c>
      <c r="B257">
        <f t="shared" si="12"/>
        <v>24414.0625</v>
      </c>
      <c r="L257">
        <f t="shared" si="13"/>
        <v>48828.125</v>
      </c>
      <c r="Q257">
        <f t="shared" si="14"/>
        <v>97656.25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Block</dc:creator>
  <cp:lastModifiedBy>Block, Daniel J</cp:lastModifiedBy>
  <dcterms:created xsi:type="dcterms:W3CDTF">2023-07-18T17:04:19Z</dcterms:created>
  <dcterms:modified xsi:type="dcterms:W3CDTF">2026-02-03T17:59:23Z</dcterms:modified>
</cp:coreProperties>
</file>